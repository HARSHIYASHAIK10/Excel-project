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4E35A9D7-8BA7-4F84-8EC3-0FD343BA38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sic Formulas" sheetId="1" r:id="rId1"/>
    <sheet name="Employee" sheetId="2" r:id="rId2"/>
    <sheet name="Product" sheetId="3" r:id="rId3"/>
    <sheet name="Sales" sheetId="4" r:id="rId4"/>
    <sheet name="Dashboard" sheetId="5" r:id="rId5"/>
    <sheet name="Pivot Table" sheetId="7" r:id="rId6"/>
    <sheet name="data cleaning" sheetId="8" r:id="rId7"/>
  </sheets>
  <calcPr calcId="191028"/>
  <pivotCaches>
    <pivotCache cacheId="55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8" l="1"/>
  <c r="L11" i="8"/>
  <c r="K14" i="8" a="1"/>
  <c r="K11" i="8" s="1"/>
  <c r="K14" i="8"/>
  <c r="C6" i="2"/>
  <c r="C2" i="2"/>
  <c r="D3" i="4"/>
  <c r="D7" i="4"/>
  <c r="D31" i="4"/>
  <c r="D43" i="4"/>
  <c r="D15" i="4"/>
  <c r="D16" i="4"/>
  <c r="D11" i="4"/>
  <c r="D12" i="4"/>
  <c r="D47" i="4"/>
  <c r="D50" i="4"/>
  <c r="D8" i="4"/>
  <c r="D44" i="4"/>
  <c r="D27" i="4"/>
  <c r="D46" i="4"/>
  <c r="D36" i="4"/>
  <c r="D48" i="4"/>
  <c r="D19" i="4"/>
  <c r="D23" i="4"/>
  <c r="D30" i="4"/>
  <c r="D5" i="4"/>
  <c r="D33" i="4"/>
  <c r="D28" i="4"/>
  <c r="D38" i="4"/>
  <c r="D40" i="4"/>
  <c r="D34" i="4"/>
  <c r="D2" i="4"/>
  <c r="D22" i="4"/>
  <c r="D39" i="4"/>
  <c r="D37" i="4"/>
  <c r="D26" i="4"/>
  <c r="D21" i="4"/>
  <c r="D6" i="4"/>
  <c r="D42" i="4"/>
  <c r="D41" i="4"/>
  <c r="D32" i="4"/>
  <c r="D49" i="4"/>
  <c r="D25" i="4"/>
  <c r="D35" i="4"/>
  <c r="D10" i="4"/>
  <c r="J3" i="3"/>
  <c r="D20" i="4"/>
  <c r="D45" i="4"/>
  <c r="D4" i="4"/>
  <c r="D14" i="4"/>
  <c r="D18" i="4"/>
  <c r="D9" i="4"/>
  <c r="D51" i="4"/>
  <c r="D24" i="4"/>
  <c r="D13" i="4"/>
  <c r="D29" i="4"/>
  <c r="D17" i="4"/>
  <c r="E5" i="4"/>
  <c r="E33" i="4"/>
  <c r="E28" i="4"/>
  <c r="E38" i="4"/>
  <c r="E40" i="4"/>
  <c r="E34" i="4"/>
  <c r="E2" i="4"/>
  <c r="E22" i="4"/>
  <c r="E39" i="4"/>
  <c r="E37" i="4"/>
  <c r="E26" i="4"/>
  <c r="E21" i="4"/>
  <c r="E6" i="4"/>
  <c r="E42" i="4"/>
  <c r="E41" i="4"/>
  <c r="E32" i="4"/>
  <c r="E49" i="4"/>
  <c r="E25" i="4"/>
  <c r="E35" i="4"/>
  <c r="E10" i="4"/>
  <c r="E45" i="4"/>
  <c r="E4" i="4"/>
  <c r="E14" i="4"/>
  <c r="E18" i="4"/>
  <c r="E9" i="4"/>
  <c r="E51" i="4"/>
  <c r="E24" i="4"/>
  <c r="E13" i="4"/>
  <c r="E29" i="4"/>
  <c r="E17" i="4"/>
  <c r="E3" i="4"/>
  <c r="E7" i="4"/>
  <c r="E31" i="4"/>
  <c r="E43" i="4"/>
  <c r="E15" i="4"/>
  <c r="E16" i="4"/>
  <c r="E11" i="4"/>
  <c r="E12" i="4"/>
  <c r="E47" i="4"/>
  <c r="E50" i="4"/>
  <c r="E8" i="4"/>
  <c r="E44" i="4"/>
  <c r="E27" i="4"/>
  <c r="E46" i="4"/>
  <c r="E36" i="4"/>
  <c r="E48" i="4"/>
  <c r="E19" i="4"/>
  <c r="E23" i="4"/>
  <c r="E30" i="4"/>
  <c r="E20" i="4"/>
  <c r="O3" i="4" s="1"/>
  <c r="B40" i="3" a="1"/>
  <c r="B40" i="3"/>
  <c r="C40" i="3" s="1"/>
  <c r="B18" i="3" a="1"/>
  <c r="B18" i="3"/>
  <c r="C18" i="3" s="1"/>
  <c r="B2" i="3" a="1"/>
  <c r="B2" i="3"/>
  <c r="C2" i="3" s="1"/>
  <c r="B22" i="3" a="1"/>
  <c r="B22" i="3"/>
  <c r="C22" i="3" s="1"/>
  <c r="B12" i="3" a="1"/>
  <c r="B12" i="3"/>
  <c r="C12" i="3" s="1"/>
  <c r="B41" i="3" a="1"/>
  <c r="B41" i="3"/>
  <c r="C41" i="3" s="1"/>
  <c r="B9" i="3" a="1"/>
  <c r="B9" i="3"/>
  <c r="C9" i="3" s="1"/>
  <c r="B48" i="3" a="1"/>
  <c r="B48" i="3"/>
  <c r="C48" i="3" s="1"/>
  <c r="B36" i="3" a="1"/>
  <c r="B36" i="3"/>
  <c r="C36" i="3" s="1"/>
  <c r="B30" i="3" a="1"/>
  <c r="B30" i="3"/>
  <c r="C30" i="3" s="1"/>
  <c r="B13" i="3" a="1"/>
  <c r="B13" i="3"/>
  <c r="C13" i="3" s="1"/>
  <c r="B23" i="3" a="1"/>
  <c r="B23" i="3"/>
  <c r="C23" i="3" s="1"/>
  <c r="B10" i="3" a="1"/>
  <c r="B10" i="3"/>
  <c r="C10" i="3" s="1"/>
  <c r="B49" i="3" a="1"/>
  <c r="B49" i="3"/>
  <c r="C49" i="3" s="1"/>
  <c r="B3" i="3" a="1"/>
  <c r="B3" i="3"/>
  <c r="C3" i="3" s="1"/>
  <c r="B50" i="3" a="1"/>
  <c r="B50" i="3"/>
  <c r="C50" i="3" s="1"/>
  <c r="B31" i="3" a="1"/>
  <c r="B31" i="3"/>
  <c r="C31" i="3" s="1"/>
  <c r="B42" i="3" a="1"/>
  <c r="B42" i="3"/>
  <c r="C42" i="3" s="1"/>
  <c r="B32" i="3" a="1"/>
  <c r="B32" i="3"/>
  <c r="C32" i="3" s="1"/>
  <c r="B24" i="3" a="1"/>
  <c r="B24" i="3"/>
  <c r="C24" i="3" s="1"/>
  <c r="B43" i="3" a="1"/>
  <c r="B43" i="3"/>
  <c r="C43" i="3" s="1"/>
  <c r="B25" i="3" a="1"/>
  <c r="B25" i="3"/>
  <c r="C25" i="3" s="1"/>
  <c r="B6" i="3" a="1"/>
  <c r="B6" i="3"/>
  <c r="C6" i="3" s="1"/>
  <c r="B37" i="3" a="1"/>
  <c r="B37" i="3"/>
  <c r="C37" i="3" s="1"/>
  <c r="B44" i="3" a="1"/>
  <c r="B44" i="3"/>
  <c r="C44" i="3" s="1"/>
  <c r="B19" i="3" a="1"/>
  <c r="B19" i="3"/>
  <c r="C19" i="3" s="1"/>
  <c r="B33" i="3" a="1"/>
  <c r="B33" i="3"/>
  <c r="C33" i="3" s="1"/>
  <c r="B7" i="3" a="1"/>
  <c r="B7" i="3"/>
  <c r="C7" i="3" s="1"/>
  <c r="B38" i="3" a="1"/>
  <c r="B38" i="3"/>
  <c r="C38" i="3" s="1"/>
  <c r="B4" i="3" a="1"/>
  <c r="B4" i="3"/>
  <c r="C4" i="3" s="1"/>
  <c r="B8" i="3" a="1"/>
  <c r="B8" i="3"/>
  <c r="C8" i="3" s="1"/>
  <c r="B45" i="3" a="1"/>
  <c r="B45" i="3"/>
  <c r="C45" i="3" s="1"/>
  <c r="B11" i="3" a="1"/>
  <c r="B11" i="3"/>
  <c r="C11" i="3" s="1"/>
  <c r="B14" i="3" a="1"/>
  <c r="B14" i="3"/>
  <c r="C14" i="3" s="1"/>
  <c r="B39" i="3" a="1"/>
  <c r="B39" i="3"/>
  <c r="C39" i="3" s="1"/>
  <c r="B46" i="3" a="1"/>
  <c r="B46" i="3"/>
  <c r="C46" i="3" s="1"/>
  <c r="B20" i="3" a="1"/>
  <c r="B20" i="3"/>
  <c r="C20" i="3" s="1"/>
  <c r="B26" i="3" a="1"/>
  <c r="B26" i="3"/>
  <c r="C26" i="3" s="1"/>
  <c r="B27" i="3" a="1"/>
  <c r="B27" i="3"/>
  <c r="C27" i="3" s="1"/>
  <c r="B34" i="3" a="1"/>
  <c r="B34" i="3"/>
  <c r="C34" i="3" s="1"/>
  <c r="B28" i="3" a="1"/>
  <c r="B28" i="3"/>
  <c r="C28" i="3" s="1"/>
  <c r="B5" i="3" a="1"/>
  <c r="B5" i="3"/>
  <c r="C5" i="3" s="1"/>
  <c r="B29" i="3" a="1"/>
  <c r="B29" i="3"/>
  <c r="C29" i="3" s="1"/>
  <c r="B21" i="3" a="1"/>
  <c r="B21" i="3"/>
  <c r="C21" i="3" s="1"/>
  <c r="B15" i="3" a="1"/>
  <c r="B15" i="3"/>
  <c r="C15" i="3" s="1"/>
  <c r="B16" i="3" a="1"/>
  <c r="B16" i="3"/>
  <c r="C16" i="3" s="1"/>
  <c r="B47" i="3" a="1"/>
  <c r="B47" i="3"/>
  <c r="C47" i="3" s="1"/>
  <c r="B51" i="3" a="1"/>
  <c r="B51" i="3"/>
  <c r="C51" i="3" s="1"/>
  <c r="B17" i="3" a="1"/>
  <c r="B17" i="3"/>
  <c r="C17" i="3" s="1"/>
  <c r="B35" i="3" a="1"/>
  <c r="B35" i="3"/>
  <c r="C35" i="3" s="1"/>
  <c r="P3" i="3" s="1"/>
  <c r="D35" i="3"/>
  <c r="D40" i="3"/>
  <c r="D18" i="3"/>
  <c r="D2" i="3"/>
  <c r="D22" i="3"/>
  <c r="D12" i="3"/>
  <c r="D41" i="3"/>
  <c r="D9" i="3"/>
  <c r="D48" i="3"/>
  <c r="D36" i="3"/>
  <c r="D30" i="3"/>
  <c r="D13" i="3"/>
  <c r="D23" i="3"/>
  <c r="D10" i="3"/>
  <c r="D49" i="3"/>
  <c r="D3" i="3"/>
  <c r="D50" i="3"/>
  <c r="D31" i="3"/>
  <c r="D42" i="3"/>
  <c r="D32" i="3"/>
  <c r="D24" i="3"/>
  <c r="D43" i="3"/>
  <c r="D25" i="3"/>
  <c r="D6" i="3"/>
  <c r="D37" i="3"/>
  <c r="D44" i="3"/>
  <c r="D19" i="3"/>
  <c r="D33" i="3"/>
  <c r="D7" i="3"/>
  <c r="D38" i="3"/>
  <c r="D4" i="3"/>
  <c r="D8" i="3"/>
  <c r="D45" i="3"/>
  <c r="D11" i="3"/>
  <c r="D14" i="3"/>
  <c r="D39" i="3"/>
  <c r="D46" i="3"/>
  <c r="D20" i="3"/>
  <c r="D26" i="3"/>
  <c r="D27" i="3"/>
  <c r="D34" i="3"/>
  <c r="D28" i="3"/>
  <c r="D5" i="3"/>
  <c r="D29" i="3"/>
  <c r="D21" i="3"/>
  <c r="D15" i="3"/>
  <c r="D16" i="3"/>
  <c r="D47" i="3"/>
  <c r="D51" i="3"/>
  <c r="D17" i="3"/>
  <c r="C51" i="2"/>
  <c r="C39" i="2"/>
  <c r="C50" i="2"/>
  <c r="C42" i="2"/>
  <c r="C26" i="2"/>
  <c r="C9" i="2"/>
  <c r="C38" i="2"/>
  <c r="C43" i="2"/>
  <c r="C28" i="2"/>
  <c r="C7" i="2"/>
  <c r="C5" i="2"/>
  <c r="C4" i="2"/>
  <c r="C14" i="2"/>
  <c r="C8" i="2"/>
  <c r="C22" i="2"/>
  <c r="C11" i="2"/>
  <c r="C48" i="2"/>
  <c r="C27" i="2"/>
  <c r="C18" i="2"/>
  <c r="C30" i="2"/>
  <c r="C15" i="2"/>
  <c r="C41" i="2"/>
  <c r="C12" i="2"/>
  <c r="C29" i="2"/>
  <c r="C35" i="2"/>
  <c r="C33" i="2"/>
  <c r="C45" i="2"/>
  <c r="C10" i="2"/>
  <c r="C20" i="2"/>
  <c r="C25" i="2"/>
  <c r="C24" i="2"/>
  <c r="C37" i="2"/>
  <c r="C3" i="2"/>
  <c r="C36" i="2"/>
  <c r="C47" i="2"/>
  <c r="C32" i="2"/>
  <c r="C44" i="2"/>
  <c r="C46" i="2"/>
  <c r="C19" i="2"/>
  <c r="C13" i="2"/>
  <c r="C17" i="2"/>
  <c r="C21" i="2"/>
  <c r="C49" i="2"/>
  <c r="C34" i="2"/>
  <c r="C16" i="2"/>
  <c r="C23" i="2"/>
  <c r="C31" i="2"/>
  <c r="C40" i="2"/>
  <c r="D40" i="2"/>
  <c r="E40" i="2"/>
  <c r="F40" i="2"/>
  <c r="D39" i="2"/>
  <c r="D50" i="2"/>
  <c r="D42" i="2"/>
  <c r="D2" i="2"/>
  <c r="D26" i="2"/>
  <c r="D9" i="2"/>
  <c r="D38" i="2"/>
  <c r="D43" i="2"/>
  <c r="D28" i="2"/>
  <c r="D7" i="2"/>
  <c r="D5" i="2"/>
  <c r="D4" i="2"/>
  <c r="D14" i="2"/>
  <c r="D8" i="2"/>
  <c r="D22" i="2"/>
  <c r="D11" i="2"/>
  <c r="D48" i="2"/>
  <c r="D27" i="2"/>
  <c r="D18" i="2"/>
  <c r="D30" i="2"/>
  <c r="D15" i="2"/>
  <c r="D41" i="2"/>
  <c r="D12" i="2"/>
  <c r="D29" i="2"/>
  <c r="D35" i="2"/>
  <c r="D33" i="2"/>
  <c r="D45" i="2"/>
  <c r="D10" i="2"/>
  <c r="D20" i="2"/>
  <c r="D25" i="2"/>
  <c r="D24" i="2"/>
  <c r="D6" i="2"/>
  <c r="D37" i="2"/>
  <c r="D3" i="2"/>
  <c r="D36" i="2"/>
  <c r="D47" i="2"/>
  <c r="D32" i="2"/>
  <c r="D44" i="2"/>
  <c r="D46" i="2"/>
  <c r="D19" i="2"/>
  <c r="D13" i="2"/>
  <c r="D17" i="2"/>
  <c r="D21" i="2"/>
  <c r="D49" i="2"/>
  <c r="D34" i="2"/>
  <c r="D16" i="2"/>
  <c r="D23" i="2"/>
  <c r="D31" i="2"/>
  <c r="D51" i="2"/>
  <c r="J8" i="2" s="1" a="1"/>
  <c r="J8" i="2" s="1"/>
  <c r="E30" i="2"/>
  <c r="E15" i="2"/>
  <c r="E41" i="2"/>
  <c r="E12" i="2"/>
  <c r="E29" i="2"/>
  <c r="E35" i="2"/>
  <c r="E33" i="2"/>
  <c r="E45" i="2"/>
  <c r="E10" i="2"/>
  <c r="E20" i="2"/>
  <c r="E25" i="2"/>
  <c r="E24" i="2"/>
  <c r="E6" i="2"/>
  <c r="E37" i="2"/>
  <c r="E3" i="2"/>
  <c r="E36" i="2"/>
  <c r="E47" i="2"/>
  <c r="E32" i="2"/>
  <c r="E44" i="2"/>
  <c r="E46" i="2"/>
  <c r="L47" i="2" s="1"/>
  <c r="E19" i="2"/>
  <c r="E13" i="2"/>
  <c r="E17" i="2"/>
  <c r="L50" i="2" s="1"/>
  <c r="E21" i="2"/>
  <c r="L51" i="2" s="1"/>
  <c r="E49" i="2"/>
  <c r="L52" i="2" s="1"/>
  <c r="E34" i="2"/>
  <c r="E16" i="2"/>
  <c r="E23" i="2"/>
  <c r="L55" i="2" s="1"/>
  <c r="E31" i="2"/>
  <c r="F30" i="2"/>
  <c r="F15" i="2"/>
  <c r="F41" i="2"/>
  <c r="F12" i="2"/>
  <c r="F29" i="2"/>
  <c r="F35" i="2"/>
  <c r="F33" i="2"/>
  <c r="F45" i="2"/>
  <c r="F10" i="2"/>
  <c r="F20" i="2"/>
  <c r="F25" i="2"/>
  <c r="F24" i="2"/>
  <c r="F6" i="2"/>
  <c r="F37" i="2"/>
  <c r="F3" i="2"/>
  <c r="F36" i="2"/>
  <c r="F47" i="2"/>
  <c r="F32" i="2"/>
  <c r="F44" i="2"/>
  <c r="F46" i="2"/>
  <c r="F19" i="2"/>
  <c r="F13" i="2"/>
  <c r="F17" i="2"/>
  <c r="F21" i="2"/>
  <c r="F49" i="2"/>
  <c r="F34" i="2"/>
  <c r="F16" i="2"/>
  <c r="F23" i="2"/>
  <c r="F31" i="2"/>
  <c r="F51" i="2"/>
  <c r="H3" i="2"/>
  <c r="E3" i="5" s="1"/>
  <c r="F39" i="2"/>
  <c r="F50" i="2"/>
  <c r="F42" i="2"/>
  <c r="F2" i="2"/>
  <c r="F26" i="2"/>
  <c r="F9" i="2"/>
  <c r="F38" i="2"/>
  <c r="F43" i="2"/>
  <c r="F28" i="2"/>
  <c r="F7" i="2"/>
  <c r="F5" i="2"/>
  <c r="F4" i="2"/>
  <c r="F14" i="2"/>
  <c r="F8" i="2"/>
  <c r="F22" i="2"/>
  <c r="F11" i="2"/>
  <c r="F48" i="2"/>
  <c r="F27" i="2"/>
  <c r="F18" i="2"/>
  <c r="E39" i="2"/>
  <c r="E50" i="2"/>
  <c r="E42" i="2"/>
  <c r="E2" i="2"/>
  <c r="L12" i="2" s="1"/>
  <c r="E26" i="2"/>
  <c r="E9" i="2"/>
  <c r="E38" i="2"/>
  <c r="L15" i="2" s="1"/>
  <c r="E43" i="2"/>
  <c r="L16" i="2" s="1"/>
  <c r="E28" i="2"/>
  <c r="E7" i="2"/>
  <c r="L18" i="2" s="1"/>
  <c r="E5" i="2"/>
  <c r="L19" i="2" s="1"/>
  <c r="E4" i="2"/>
  <c r="E14" i="2"/>
  <c r="L21" i="2" s="1"/>
  <c r="E8" i="2"/>
  <c r="L22" i="2" s="1"/>
  <c r="E22" i="2"/>
  <c r="L23" i="2" s="1"/>
  <c r="E11" i="2"/>
  <c r="E48" i="2"/>
  <c r="E27" i="2"/>
  <c r="L26" i="2" s="1"/>
  <c r="E18" i="2"/>
  <c r="L27" i="2" s="1"/>
  <c r="E51" i="2"/>
  <c r="L8" i="2" s="1"/>
  <c r="L27" i="1"/>
  <c r="H30" i="1"/>
  <c r="F24" i="1"/>
  <c r="F25" i="1"/>
  <c r="F26" i="1"/>
  <c r="F27" i="1"/>
  <c r="F23" i="1"/>
  <c r="H24" i="1" s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K7" i="1"/>
  <c r="L7" i="1"/>
  <c r="M7" i="1"/>
  <c r="N7" i="1"/>
  <c r="J7" i="1"/>
  <c r="L2" i="1"/>
  <c r="D8" i="1"/>
  <c r="D6" i="1"/>
  <c r="D4" i="1"/>
  <c r="D2" i="1"/>
  <c r="O3" i="3" l="1"/>
  <c r="L24" i="2"/>
  <c r="L20" i="2"/>
  <c r="L17" i="2"/>
  <c r="L13" i="2"/>
  <c r="L10" i="2"/>
  <c r="L56" i="2"/>
  <c r="L54" i="2"/>
  <c r="L45" i="2"/>
  <c r="L44" i="2"/>
  <c r="L42" i="2"/>
  <c r="L25" i="2"/>
  <c r="L14" i="2"/>
  <c r="L11" i="2"/>
  <c r="L9" i="2"/>
  <c r="L53" i="2"/>
  <c r="L49" i="2"/>
  <c r="L48" i="2"/>
  <c r="L46" i="2"/>
  <c r="L43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57" i="2"/>
  <c r="J3" i="4"/>
  <c r="M3" i="3"/>
  <c r="L3" i="3"/>
  <c r="K3" i="3"/>
  <c r="O3" i="2"/>
  <c r="N3" i="2"/>
  <c r="F3" i="4"/>
  <c r="F17" i="4"/>
  <c r="F29" i="4"/>
  <c r="F13" i="4"/>
  <c r="F24" i="4"/>
  <c r="F51" i="4"/>
  <c r="F9" i="4"/>
  <c r="F18" i="4"/>
  <c r="F14" i="4"/>
  <c r="F4" i="4"/>
  <c r="F45" i="4"/>
  <c r="F10" i="4"/>
  <c r="F35" i="4"/>
  <c r="F25" i="4"/>
  <c r="F49" i="4"/>
  <c r="F32" i="4"/>
  <c r="F41" i="4"/>
  <c r="F42" i="4"/>
  <c r="F6" i="4"/>
  <c r="F21" i="4"/>
  <c r="F26" i="4"/>
  <c r="F37" i="4"/>
  <c r="F39" i="4"/>
  <c r="F22" i="4"/>
  <c r="F2" i="4"/>
  <c r="F34" i="4"/>
  <c r="F40" i="4"/>
  <c r="F38" i="4"/>
  <c r="F28" i="4"/>
  <c r="F33" i="4"/>
  <c r="F5" i="4"/>
  <c r="F30" i="4"/>
  <c r="F23" i="4"/>
  <c r="F19" i="4"/>
  <c r="F48" i="4"/>
  <c r="F36" i="4"/>
  <c r="F46" i="4"/>
  <c r="F27" i="4"/>
  <c r="F44" i="4"/>
  <c r="F8" i="4"/>
  <c r="F50" i="4"/>
  <c r="F47" i="4"/>
  <c r="F12" i="4"/>
  <c r="F11" i="4"/>
  <c r="F16" i="4"/>
  <c r="F15" i="4"/>
  <c r="F43" i="4"/>
  <c r="F31" i="4"/>
  <c r="F7" i="4"/>
  <c r="F20" i="4"/>
  <c r="K3" i="2"/>
  <c r="H3" i="5" s="1"/>
  <c r="L3" i="2"/>
  <c r="G3" i="5" s="1"/>
  <c r="I3" i="2"/>
  <c r="J3" i="2"/>
  <c r="F3" i="5" s="1"/>
  <c r="M3" i="2"/>
  <c r="H23" i="1"/>
  <c r="R10" i="1"/>
  <c r="R11" i="1"/>
  <c r="R8" i="1"/>
  <c r="R9" i="1"/>
  <c r="L3" i="4" l="1"/>
  <c r="N3" i="4"/>
  <c r="I3" i="4"/>
  <c r="K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<sst xmlns="http://schemas.openxmlformats.org/spreadsheetml/2006/main" count="471" uniqueCount="342">
  <si>
    <t>add</t>
  </si>
  <si>
    <t>sub</t>
  </si>
  <si>
    <t>mul &amp;div</t>
  </si>
  <si>
    <t>average</t>
  </si>
  <si>
    <t>random number</t>
  </si>
  <si>
    <t>max</t>
  </si>
  <si>
    <t>min</t>
  </si>
  <si>
    <t>count</t>
  </si>
  <si>
    <t>vlookup</t>
  </si>
  <si>
    <t>serial number</t>
  </si>
  <si>
    <t>family</t>
  </si>
  <si>
    <t>income</t>
  </si>
  <si>
    <t>if</t>
  </si>
  <si>
    <t>database</t>
  </si>
  <si>
    <t>fa1</t>
  </si>
  <si>
    <t>if-or</t>
  </si>
  <si>
    <t xml:space="preserve">person </t>
  </si>
  <si>
    <t>fa2</t>
  </si>
  <si>
    <t>if-error</t>
  </si>
  <si>
    <t>fa3</t>
  </si>
  <si>
    <t>fa4</t>
  </si>
  <si>
    <t>vlookup formula</t>
  </si>
  <si>
    <t>search number</t>
  </si>
  <si>
    <t>fam name</t>
  </si>
  <si>
    <t>a</t>
  </si>
  <si>
    <t>Employee ID</t>
  </si>
  <si>
    <t>Name</t>
  </si>
  <si>
    <t>Department</t>
  </si>
  <si>
    <t>Joining Date</t>
  </si>
  <si>
    <t>Salary</t>
  </si>
  <si>
    <t>Performance score</t>
  </si>
  <si>
    <t>BASIC AGREGGATION</t>
  </si>
  <si>
    <t>E5</t>
  </si>
  <si>
    <t>Robin</t>
  </si>
  <si>
    <t>Total Employees</t>
  </si>
  <si>
    <t>Total payroll</t>
  </si>
  <si>
    <t>Average Salary</t>
  </si>
  <si>
    <t>Min Salary</t>
  </si>
  <si>
    <t>Max Salary</t>
  </si>
  <si>
    <t>Average performance</t>
  </si>
  <si>
    <t>count of it support</t>
  </si>
  <si>
    <t>Average salary of HR dept</t>
  </si>
  <si>
    <t>E35</t>
  </si>
  <si>
    <t>Noah</t>
  </si>
  <si>
    <t>E13</t>
  </si>
  <si>
    <t>Lucas</t>
  </si>
  <si>
    <t>E12</t>
  </si>
  <si>
    <t>Erica</t>
  </si>
  <si>
    <t>E33</t>
  </si>
  <si>
    <t>Isabell</t>
  </si>
  <si>
    <t>DATE BASED FORMULA</t>
  </si>
  <si>
    <t>CONDITIONAL FORMATING</t>
  </si>
  <si>
    <t>E11</t>
  </si>
  <si>
    <t>Murray</t>
  </si>
  <si>
    <t>years of experience</t>
  </si>
  <si>
    <t>Label high salary (&gt;50000)</t>
  </si>
  <si>
    <t>E15</t>
  </si>
  <si>
    <t>Maxine</t>
  </si>
  <si>
    <t>E7</t>
  </si>
  <si>
    <t>Jonathon</t>
  </si>
  <si>
    <t>E29</t>
  </si>
  <si>
    <t>Stefan</t>
  </si>
  <si>
    <t>E17</t>
  </si>
  <si>
    <t>Karren</t>
  </si>
  <si>
    <t>E24</t>
  </si>
  <si>
    <t>Lucy</t>
  </si>
  <si>
    <t>E42</t>
  </si>
  <si>
    <t>Emma</t>
  </si>
  <si>
    <t>E14</t>
  </si>
  <si>
    <t>Dustin</t>
  </si>
  <si>
    <t>E22</t>
  </si>
  <si>
    <t>Molly</t>
  </si>
  <si>
    <t>E47</t>
  </si>
  <si>
    <t>Sadie</t>
  </si>
  <si>
    <t>E43</t>
  </si>
  <si>
    <t>Olivia</t>
  </si>
  <si>
    <t>E20</t>
  </si>
  <si>
    <t>Eddie</t>
  </si>
  <si>
    <t>E41</t>
  </si>
  <si>
    <t>Liam</t>
  </si>
  <si>
    <t>E30</t>
  </si>
  <si>
    <t>Klaus</t>
  </si>
  <si>
    <t>E44</t>
  </si>
  <si>
    <t>Sophia</t>
  </si>
  <si>
    <t>E16</t>
  </si>
  <si>
    <t>Sussy</t>
  </si>
  <si>
    <t>E48</t>
  </si>
  <si>
    <t xml:space="preserve">Chole </t>
  </si>
  <si>
    <t>E32</t>
  </si>
  <si>
    <t>Jermaiah</t>
  </si>
  <si>
    <t>E31</t>
  </si>
  <si>
    <t>Rossaline</t>
  </si>
  <si>
    <t>E6</t>
  </si>
  <si>
    <t>Nancy</t>
  </si>
  <si>
    <t>E19</t>
  </si>
  <si>
    <t>Billy</t>
  </si>
  <si>
    <t>E10</t>
  </si>
  <si>
    <t>Gim</t>
  </si>
  <si>
    <t>E25</t>
  </si>
  <si>
    <t>Barbara</t>
  </si>
  <si>
    <t>E21</t>
  </si>
  <si>
    <t>Henry</t>
  </si>
  <si>
    <t>E49</t>
  </si>
  <si>
    <t>Margot</t>
  </si>
  <si>
    <t>E38</t>
  </si>
  <si>
    <t>Marry</t>
  </si>
  <si>
    <t>E27</t>
  </si>
  <si>
    <t>Maya</t>
  </si>
  <si>
    <t>E46</t>
  </si>
  <si>
    <t>Kai</t>
  </si>
  <si>
    <t>E26</t>
  </si>
  <si>
    <t>Christine</t>
  </si>
  <si>
    <t>E36</t>
  </si>
  <si>
    <t>Nick</t>
  </si>
  <si>
    <t>E34</t>
  </si>
  <si>
    <t>Conrad</t>
  </si>
  <si>
    <t>E8</t>
  </si>
  <si>
    <t>Holly</t>
  </si>
  <si>
    <t>E2</t>
  </si>
  <si>
    <t>Mike</t>
  </si>
  <si>
    <t>E50</t>
  </si>
  <si>
    <t>Hallie</t>
  </si>
  <si>
    <t>E23</t>
  </si>
  <si>
    <t>Brenner</t>
  </si>
  <si>
    <t>E4</t>
  </si>
  <si>
    <t>Steve</t>
  </si>
  <si>
    <t>E9</t>
  </si>
  <si>
    <t>Joyce</t>
  </si>
  <si>
    <t>E39</t>
  </si>
  <si>
    <t>Elijah</t>
  </si>
  <si>
    <t>E28</t>
  </si>
  <si>
    <t>Caroline</t>
  </si>
  <si>
    <t>E40</t>
  </si>
  <si>
    <t>James</t>
  </si>
  <si>
    <t>E37</t>
  </si>
  <si>
    <t>Finn</t>
  </si>
  <si>
    <t>E18</t>
  </si>
  <si>
    <t>Ben</t>
  </si>
  <si>
    <t>E45</t>
  </si>
  <si>
    <t>Luna</t>
  </si>
  <si>
    <t>E3</t>
  </si>
  <si>
    <t>William</t>
  </si>
  <si>
    <t>E1</t>
  </si>
  <si>
    <t>Jane</t>
  </si>
  <si>
    <t xml:space="preserve">Product ID </t>
  </si>
  <si>
    <t>Product Name</t>
  </si>
  <si>
    <t>Category</t>
  </si>
  <si>
    <t>Price</t>
  </si>
  <si>
    <t>product name</t>
  </si>
  <si>
    <t>category</t>
  </si>
  <si>
    <t>AGGREGATIONS</t>
  </si>
  <si>
    <t>CONDITIONAL</t>
  </si>
  <si>
    <t>P4</t>
  </si>
  <si>
    <t>Refrigerator</t>
  </si>
  <si>
    <t>Home applicance</t>
  </si>
  <si>
    <t>Total products</t>
  </si>
  <si>
    <t>Sum of all product prices</t>
  </si>
  <si>
    <t>Highest price</t>
  </si>
  <si>
    <t>Lowest price</t>
  </si>
  <si>
    <t>Identify expensive products (&gt;1000)</t>
  </si>
  <si>
    <t>Count products in "Electronics"</t>
  </si>
  <si>
    <t>P16</t>
  </si>
  <si>
    <t>shampoo</t>
  </si>
  <si>
    <t>Beauty</t>
  </si>
  <si>
    <t>P31</t>
  </si>
  <si>
    <t>rice bag</t>
  </si>
  <si>
    <t>grocery</t>
  </si>
  <si>
    <t>P43</t>
  </si>
  <si>
    <t>bluetooth speaker</t>
  </si>
  <si>
    <t>electronics</t>
  </si>
  <si>
    <t>P24</t>
  </si>
  <si>
    <t>smart phone</t>
  </si>
  <si>
    <t>mobile</t>
  </si>
  <si>
    <t>P29</t>
  </si>
  <si>
    <t>tshirt</t>
  </si>
  <si>
    <t>fashion</t>
  </si>
  <si>
    <t>P32</t>
  </si>
  <si>
    <t>notebook</t>
  </si>
  <si>
    <t>stationary</t>
  </si>
  <si>
    <t>P8</t>
  </si>
  <si>
    <t>story book</t>
  </si>
  <si>
    <t>book</t>
  </si>
  <si>
    <t>P14</t>
  </si>
  <si>
    <t xml:space="preserve">teddy bear </t>
  </si>
  <si>
    <t>toys</t>
  </si>
  <si>
    <t>P34</t>
  </si>
  <si>
    <t>vitamins</t>
  </si>
  <si>
    <t>health</t>
  </si>
  <si>
    <t>P6</t>
  </si>
  <si>
    <t>P12</t>
  </si>
  <si>
    <t>P35</t>
  </si>
  <si>
    <t>P46</t>
  </si>
  <si>
    <t>P47</t>
  </si>
  <si>
    <t>P50</t>
  </si>
  <si>
    <t>P3</t>
  </si>
  <si>
    <t>P27</t>
  </si>
  <si>
    <t>P38</t>
  </si>
  <si>
    <t>P45</t>
  </si>
  <si>
    <t>P5</t>
  </si>
  <si>
    <t>P13</t>
  </si>
  <si>
    <t>P21</t>
  </si>
  <si>
    <t>P23</t>
  </si>
  <si>
    <t>P39</t>
  </si>
  <si>
    <t>P40</t>
  </si>
  <si>
    <t>P42</t>
  </si>
  <si>
    <t>P44</t>
  </si>
  <si>
    <t>P11</t>
  </si>
  <si>
    <t>P18</t>
  </si>
  <si>
    <t>P20</t>
  </si>
  <si>
    <t>P28</t>
  </si>
  <si>
    <t>P41</t>
  </si>
  <si>
    <t>P1</t>
  </si>
  <si>
    <t>P10</t>
  </si>
  <si>
    <t>P25</t>
  </si>
  <si>
    <t>P30</t>
  </si>
  <si>
    <t>P36</t>
  </si>
  <si>
    <t>P2</t>
  </si>
  <si>
    <t>P7</t>
  </si>
  <si>
    <t>P19</t>
  </si>
  <si>
    <t>P22</t>
  </si>
  <si>
    <t>P26</t>
  </si>
  <si>
    <t>P33</t>
  </si>
  <si>
    <t>P37</t>
  </si>
  <si>
    <t>P48</t>
  </si>
  <si>
    <t>P9</t>
  </si>
  <si>
    <t>P15</t>
  </si>
  <si>
    <t>P17</t>
  </si>
  <si>
    <t>P49</t>
  </si>
  <si>
    <t>Sales ID</t>
  </si>
  <si>
    <t>Product ID</t>
  </si>
  <si>
    <t>Units Sold</t>
  </si>
  <si>
    <t>Sale Date</t>
  </si>
  <si>
    <t>Sale Amount</t>
  </si>
  <si>
    <t>AGGREGATE FUNCTIONS</t>
  </si>
  <si>
    <t>S27</t>
  </si>
  <si>
    <t>sales amt</t>
  </si>
  <si>
    <t>units sold sum</t>
  </si>
  <si>
    <t>max sale amt</t>
  </si>
  <si>
    <t>min sale amt</t>
  </si>
  <si>
    <t>Flag high sales (&gt;10,000)</t>
  </si>
  <si>
    <t>Check weekend sales</t>
  </si>
  <si>
    <t>S2</t>
  </si>
  <si>
    <t>S42</t>
  </si>
  <si>
    <t>S21</t>
  </si>
  <si>
    <t>S33</t>
  </si>
  <si>
    <t>S3</t>
  </si>
  <si>
    <t>S12</t>
  </si>
  <si>
    <t>S45</t>
  </si>
  <si>
    <t>S40</t>
  </si>
  <si>
    <t>S8</t>
  </si>
  <si>
    <t>S9</t>
  </si>
  <si>
    <t>S48</t>
  </si>
  <si>
    <t>S43</t>
  </si>
  <si>
    <t>S6</t>
  </si>
  <si>
    <t>S7</t>
  </si>
  <si>
    <t>S50</t>
  </si>
  <si>
    <t>S44</t>
  </si>
  <si>
    <t>S18</t>
  </si>
  <si>
    <t>S1</t>
  </si>
  <si>
    <t>S32</t>
  </si>
  <si>
    <t>S28</t>
  </si>
  <si>
    <t>S19</t>
  </si>
  <si>
    <t>S47</t>
  </si>
  <si>
    <t>S38</t>
  </si>
  <si>
    <t>S31</t>
  </si>
  <si>
    <t>S14</t>
  </si>
  <si>
    <t>S23</t>
  </si>
  <si>
    <t>S49</t>
  </si>
  <si>
    <t>S20</t>
  </si>
  <si>
    <t>S4</t>
  </si>
  <si>
    <t>S36</t>
  </si>
  <si>
    <t>S22</t>
  </si>
  <si>
    <t>S26</t>
  </si>
  <si>
    <t>S39</t>
  </si>
  <si>
    <t>S16</t>
  </si>
  <si>
    <t>S30</t>
  </si>
  <si>
    <t>S24</t>
  </si>
  <si>
    <t>S29</t>
  </si>
  <si>
    <t>S25</t>
  </si>
  <si>
    <t>S35</t>
  </si>
  <si>
    <t>S34</t>
  </si>
  <si>
    <t>S5</t>
  </si>
  <si>
    <t>S13</t>
  </si>
  <si>
    <t>S41</t>
  </si>
  <si>
    <t>S15</t>
  </si>
  <si>
    <t>S10</t>
  </si>
  <si>
    <t>S17</t>
  </si>
  <si>
    <t>S37</t>
  </si>
  <si>
    <t>S11</t>
  </si>
  <si>
    <t>S46</t>
  </si>
  <si>
    <t>DASHBOARD  FOR EMPLOYEE</t>
  </si>
  <si>
    <t>Maximum Salary</t>
  </si>
  <si>
    <t>Minimum Salary</t>
  </si>
  <si>
    <t>Sum of Salary</t>
  </si>
  <si>
    <t>Accounting</t>
  </si>
  <si>
    <t>Customer</t>
  </si>
  <si>
    <t>hr department salry</t>
  </si>
  <si>
    <t>Data Analyst</t>
  </si>
  <si>
    <t>(Multiple Items)</t>
  </si>
  <si>
    <t>Data Science</t>
  </si>
  <si>
    <t>Finance</t>
  </si>
  <si>
    <t>Average of Salary</t>
  </si>
  <si>
    <t>Count of Department</t>
  </si>
  <si>
    <t>HR</t>
  </si>
  <si>
    <t>IT Support</t>
  </si>
  <si>
    <t>Marketing</t>
  </si>
  <si>
    <t>Sales</t>
  </si>
  <si>
    <t>Grand Total</t>
  </si>
  <si>
    <t>remove duplicates and text-&gt;column</t>
  </si>
  <si>
    <t>before cleaning data</t>
  </si>
  <si>
    <t>after cleaning data</t>
  </si>
  <si>
    <t>First Name</t>
  </si>
  <si>
    <t>Last Name</t>
  </si>
  <si>
    <t>Phone Number</t>
  </si>
  <si>
    <t>Email</t>
  </si>
  <si>
    <t>Location</t>
  </si>
  <si>
    <t>Amount</t>
  </si>
  <si>
    <t>Asha</t>
  </si>
  <si>
    <t>Reddy</t>
  </si>
  <si>
    <t>asha @gmail.com</t>
  </si>
  <si>
    <t>Kavali,Nellore, AP</t>
  </si>
  <si>
    <t>asha@gmail.com</t>
  </si>
  <si>
    <t>Kavali,Nellore,AP</t>
  </si>
  <si>
    <t>Raju</t>
  </si>
  <si>
    <t>Kumar</t>
  </si>
  <si>
    <t>ASHA</t>
  </si>
  <si>
    <t>Kavali , Nellore , AP</t>
  </si>
  <si>
    <t>raju@gmail.com</t>
  </si>
  <si>
    <t>Ongole, AP</t>
  </si>
  <si>
    <t>Teja</t>
  </si>
  <si>
    <t>raju@@gmail.com</t>
  </si>
  <si>
    <t>Ongole , AP</t>
  </si>
  <si>
    <t>teja@gmail.com</t>
  </si>
  <si>
    <t>Ongole,AP</t>
  </si>
  <si>
    <t>Ongole-AP</t>
  </si>
  <si>
    <t>Sai Kumar</t>
  </si>
  <si>
    <t>sai@gmail.com</t>
  </si>
  <si>
    <t>Nellore ,AP</t>
  </si>
  <si>
    <t>sAi kumar</t>
  </si>
  <si>
    <t>sai @gmail.com</t>
  </si>
  <si>
    <t>trim</t>
  </si>
  <si>
    <t>Proper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</si>
</sst>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0" xfId="0" applyAlignment="1"/>
    <xf numFmtId="0" fontId="1" fillId="0" borderId="1" xfId="0" applyFont="1" applyBorder="1"/>
    <xf numFmtId="0" fontId="1" fillId="0" borderId="8" xfId="0" applyFont="1" applyBorder="1"/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2" fillId="0" borderId="0" xfId="1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0" xfId="1" applyBorder="1"/>
    <xf numFmtId="0" fontId="2" fillId="0" borderId="19" xfId="1" applyBorder="1"/>
    <xf numFmtId="0" fontId="3" fillId="0" borderId="0" xfId="0" applyFont="1"/>
    <xf numFmtId="0" fontId="0" fillId="0" borderId="13" xfId="0" applyBorder="1"/>
    <xf numFmtId="0" fontId="0" fillId="0" borderId="15" xfId="0" applyBorder="1"/>
    <xf numFmtId="0" fontId="1" fillId="0" borderId="16" xfId="0" applyFont="1" applyBorder="1"/>
    <xf numFmtId="0" fontId="1" fillId="0" borderId="0" xfId="0" applyFont="1" applyBorder="1"/>
    <xf numFmtId="0" fontId="0" fillId="0" borderId="14" xfId="0" applyBorder="1"/>
    <xf numFmtId="0" fontId="1" fillId="0" borderId="19" xfId="0" applyFont="1" applyBorder="1"/>
    <xf numFmtId="0" fontId="0" fillId="0" borderId="17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Dashboard!$E$3:$H$3</c:f>
              <c:numCache>
                <c:formatCode>General</c:formatCode>
                <c:ptCount val="4"/>
                <c:pt idx="0">
                  <c:v>50</c:v>
                </c:pt>
                <c:pt idx="1">
                  <c:v>72367.520000000004</c:v>
                </c:pt>
                <c:pt idx="2">
                  <c:v>99594</c:v>
                </c:pt>
                <c:pt idx="3">
                  <c:v>40705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D-4294-8BBF-6EA39506C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239687"/>
        <c:axId val="551241735"/>
      </c:barChart>
      <c:catAx>
        <c:axId val="551239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41735"/>
        <c:crosses val="autoZero"/>
        <c:auto val="1"/>
        <c:lblAlgn val="ctr"/>
        <c:lblOffset val="100"/>
        <c:noMultiLvlLbl val="0"/>
      </c:catAx>
      <c:valAx>
        <c:axId val="551241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39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19050</xdr:rowOff>
    </xdr:from>
    <xdr:to>
      <xdr:col>8</xdr:col>
      <xdr:colOff>9525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4B7CD-2E87-EAC4-16D2-BBE62AEEF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0.784031712959" createdVersion="8" refreshedVersion="8" minRefreshableVersion="3" recordCount="50" xr:uid="{10433287-AD6D-4356-AAC1-31B64DD6FA38}">
  <cacheSource type="worksheet">
    <worksheetSource name="Table1"/>
  </cacheSource>
  <cacheFields count="6">
    <cacheField name="Employee ID" numFmtId="0">
      <sharedItems count="50">
        <s v="E5"/>
        <s v="E35"/>
        <s v="E13"/>
        <s v="E12"/>
        <s v="E33"/>
        <s v="E11"/>
        <s v="E15"/>
        <s v="E7"/>
        <s v="E29"/>
        <s v="E17"/>
        <s v="E24"/>
        <s v="E42"/>
        <s v="E14"/>
        <s v="E22"/>
        <s v="E47"/>
        <s v="E43"/>
        <s v="E20"/>
        <s v="E41"/>
        <s v="E30"/>
        <s v="E44"/>
        <s v="E16"/>
        <s v="E48"/>
        <s v="E32"/>
        <s v="E31"/>
        <s v="E6"/>
        <s v="E19"/>
        <s v="E10"/>
        <s v="E25"/>
        <s v="E21"/>
        <s v="E49"/>
        <s v="E38"/>
        <s v="E27"/>
        <s v="E46"/>
        <s v="E26"/>
        <s v="E36"/>
        <s v="E34"/>
        <s v="E8"/>
        <s v="E2"/>
        <s v="E50"/>
        <s v="E23"/>
        <s v="E4"/>
        <s v="E9"/>
        <s v="E39"/>
        <s v="E28"/>
        <s v="E40"/>
        <s v="E37"/>
        <s v="E18"/>
        <s v="E45"/>
        <s v="E3"/>
        <s v="E1"/>
      </sharedItems>
    </cacheField>
    <cacheField name="Name" numFmtId="0">
      <sharedItems count="50">
        <s v="Robin"/>
        <s v="Noah"/>
        <s v="Lucas"/>
        <s v="Erica"/>
        <s v="Isabell"/>
        <s v="Murray"/>
        <s v="Maxine"/>
        <s v="Jonathon"/>
        <s v="Stefan"/>
        <s v="Karren"/>
        <s v="Lucy"/>
        <s v="Emma"/>
        <s v="Dustin"/>
        <s v="Molly"/>
        <s v="Sadie"/>
        <s v="Olivia"/>
        <s v="Eddie"/>
        <s v="Liam"/>
        <s v="Klaus"/>
        <s v="Sophia"/>
        <s v="Sussy"/>
        <s v="Chole "/>
        <s v="Jermaiah"/>
        <s v="Rossaline"/>
        <s v="Nancy"/>
        <s v="Billy"/>
        <s v="Gim"/>
        <s v="Barbara"/>
        <s v="Henry"/>
        <s v="Margot"/>
        <s v="Marry"/>
        <s v="Maya"/>
        <s v="Kai"/>
        <s v="Christine"/>
        <s v="Nick"/>
        <s v="Conrad"/>
        <s v="Holly"/>
        <s v="Mike"/>
        <s v="Hallie"/>
        <s v="Brenner"/>
        <s v="Steve"/>
        <s v="Joyce"/>
        <s v="Elijah"/>
        <s v="Caroline"/>
        <s v="James"/>
        <s v="Finn"/>
        <s v="Ben"/>
        <s v="Luna"/>
        <s v="William"/>
        <s v="Jane"/>
      </sharedItems>
    </cacheField>
    <cacheField name="Department" numFmtId="0">
      <sharedItems count="9">
        <s v="Data Analyst"/>
        <s v="Customer"/>
        <s v="Accounting"/>
        <s v="HR"/>
        <s v="Data Science"/>
        <s v="IT Support"/>
        <s v="Finance"/>
        <s v="Marketing"/>
        <s v="Sales"/>
      </sharedItems>
    </cacheField>
    <cacheField name="Joining Date" numFmtId="14">
      <sharedItems containsSemiMixedTypes="0" containsNonDate="0" containsDate="1" containsString="0" minDate="2024-08-16T00:00:00" maxDate="2026-01-01T00:00:00" count="46">
        <d v="2025-12-27T00:00:00"/>
        <d v="2024-10-05T00:00:00"/>
        <d v="2024-11-23T00:00:00"/>
        <d v="2024-08-24T00:00:00"/>
        <d v="2025-01-22T00:00:00"/>
        <d v="2025-12-19T00:00:00"/>
        <d v="2024-10-23T00:00:00"/>
        <d v="2025-12-26T00:00:00"/>
        <d v="2025-04-08T00:00:00"/>
        <d v="2024-11-06T00:00:00"/>
        <d v="2025-02-26T00:00:00"/>
        <d v="2025-01-09T00:00:00"/>
        <d v="2025-05-16T00:00:00"/>
        <d v="2025-03-12T00:00:00"/>
        <d v="2025-06-24T00:00:00"/>
        <d v="2024-10-03T00:00:00"/>
        <d v="2024-10-27T00:00:00"/>
        <d v="2024-12-03T00:00:00"/>
        <d v="2024-09-17T00:00:00"/>
        <d v="2025-02-21T00:00:00"/>
        <d v="2025-11-28T00:00:00"/>
        <d v="2025-01-05T00:00:00"/>
        <d v="2025-08-05T00:00:00"/>
        <d v="2025-11-26T00:00:00"/>
        <d v="2024-11-01T00:00:00"/>
        <d v="2024-12-25T00:00:00"/>
        <d v="2025-01-29T00:00:00"/>
        <d v="2025-10-20T00:00:00"/>
        <d v="2024-08-18T00:00:00"/>
        <d v="2024-12-11T00:00:00"/>
        <d v="2025-01-01T00:00:00"/>
        <d v="2024-10-18T00:00:00"/>
        <d v="2025-09-15T00:00:00"/>
        <d v="2024-09-01T00:00:00"/>
        <d v="2025-12-31T00:00:00"/>
        <d v="2024-10-26T00:00:00"/>
        <d v="2025-08-27T00:00:00"/>
        <d v="2025-07-08T00:00:00"/>
        <d v="2024-11-12T00:00:00"/>
        <d v="2024-09-20T00:00:00"/>
        <d v="2025-06-02T00:00:00"/>
        <d v="2025-08-02T00:00:00"/>
        <d v="2025-06-04T00:00:00"/>
        <d v="2024-08-16T00:00:00"/>
        <d v="2025-11-20T00:00:00"/>
        <d v="2024-09-06T00:00:00"/>
      </sharedItems>
    </cacheField>
    <cacheField name="Salary" numFmtId="0">
      <sharedItems containsSemiMixedTypes="0" containsString="0" containsNumber="1" containsInteger="1" minValue="40859" maxValue="99934" count="50">
        <n v="66752"/>
        <n v="80889"/>
        <n v="90274"/>
        <n v="49028"/>
        <n v="61363"/>
        <n v="59295"/>
        <n v="88127"/>
        <n v="46350"/>
        <n v="99932"/>
        <n v="50017"/>
        <n v="57256"/>
        <n v="67306"/>
        <n v="67710"/>
        <n v="96715"/>
        <n v="76042"/>
        <n v="59323"/>
        <n v="76414"/>
        <n v="84144"/>
        <n v="64793"/>
        <n v="41593"/>
        <n v="56628"/>
        <n v="50533"/>
        <n v="50782"/>
        <n v="71462"/>
        <n v="79945"/>
        <n v="84030"/>
        <n v="78666"/>
        <n v="44433"/>
        <n v="71500"/>
        <n v="57554"/>
        <n v="46337"/>
        <n v="44989"/>
        <n v="75487"/>
        <n v="46853"/>
        <n v="64378"/>
        <n v="70262"/>
        <n v="99774"/>
        <n v="66098"/>
        <n v="63734"/>
        <n v="67936"/>
        <n v="56457"/>
        <n v="99934"/>
        <n v="40859"/>
        <n v="67207"/>
        <n v="59574"/>
        <n v="59371"/>
        <n v="56880"/>
        <n v="87155"/>
        <n v="89023"/>
        <n v="75255"/>
      </sharedItems>
    </cacheField>
    <cacheField name="Performance score" numFmtId="0">
      <sharedItems containsSemiMixedTypes="0" containsString="0" containsNumber="1" containsInteger="1" minValue="60" maxValue="87" count="25">
        <n v="68"/>
        <n v="74"/>
        <n v="61"/>
        <n v="77"/>
        <n v="87"/>
        <n v="70"/>
        <n v="63"/>
        <n v="86"/>
        <n v="81"/>
        <n v="65"/>
        <n v="72"/>
        <n v="75"/>
        <n v="85"/>
        <n v="78"/>
        <n v="84"/>
        <n v="76"/>
        <n v="73"/>
        <n v="66"/>
        <n v="79"/>
        <n v="62"/>
        <n v="80"/>
        <n v="69"/>
        <n v="83"/>
        <n v="71"/>
        <n v="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1"/>
    <x v="3"/>
    <x v="3"/>
    <x v="3"/>
  </r>
  <r>
    <x v="4"/>
    <x v="4"/>
    <x v="3"/>
    <x v="4"/>
    <x v="4"/>
    <x v="4"/>
  </r>
  <r>
    <x v="5"/>
    <x v="5"/>
    <x v="2"/>
    <x v="5"/>
    <x v="5"/>
    <x v="5"/>
  </r>
  <r>
    <x v="6"/>
    <x v="6"/>
    <x v="3"/>
    <x v="6"/>
    <x v="6"/>
    <x v="6"/>
  </r>
  <r>
    <x v="7"/>
    <x v="7"/>
    <x v="4"/>
    <x v="7"/>
    <x v="7"/>
    <x v="7"/>
  </r>
  <r>
    <x v="8"/>
    <x v="8"/>
    <x v="2"/>
    <x v="8"/>
    <x v="8"/>
    <x v="8"/>
  </r>
  <r>
    <x v="9"/>
    <x v="9"/>
    <x v="5"/>
    <x v="9"/>
    <x v="9"/>
    <x v="9"/>
  </r>
  <r>
    <x v="10"/>
    <x v="10"/>
    <x v="4"/>
    <x v="10"/>
    <x v="10"/>
    <x v="10"/>
  </r>
  <r>
    <x v="11"/>
    <x v="11"/>
    <x v="6"/>
    <x v="11"/>
    <x v="11"/>
    <x v="11"/>
  </r>
  <r>
    <x v="12"/>
    <x v="12"/>
    <x v="1"/>
    <x v="12"/>
    <x v="12"/>
    <x v="6"/>
  </r>
  <r>
    <x v="13"/>
    <x v="13"/>
    <x v="7"/>
    <x v="13"/>
    <x v="13"/>
    <x v="5"/>
  </r>
  <r>
    <x v="14"/>
    <x v="14"/>
    <x v="7"/>
    <x v="14"/>
    <x v="14"/>
    <x v="12"/>
  </r>
  <r>
    <x v="15"/>
    <x v="15"/>
    <x v="5"/>
    <x v="15"/>
    <x v="15"/>
    <x v="0"/>
  </r>
  <r>
    <x v="16"/>
    <x v="16"/>
    <x v="1"/>
    <x v="16"/>
    <x v="16"/>
    <x v="1"/>
  </r>
  <r>
    <x v="17"/>
    <x v="17"/>
    <x v="7"/>
    <x v="17"/>
    <x v="17"/>
    <x v="2"/>
  </r>
  <r>
    <x v="18"/>
    <x v="18"/>
    <x v="1"/>
    <x v="18"/>
    <x v="18"/>
    <x v="12"/>
  </r>
  <r>
    <x v="19"/>
    <x v="19"/>
    <x v="1"/>
    <x v="19"/>
    <x v="19"/>
    <x v="13"/>
  </r>
  <r>
    <x v="20"/>
    <x v="20"/>
    <x v="5"/>
    <x v="1"/>
    <x v="20"/>
    <x v="8"/>
  </r>
  <r>
    <x v="21"/>
    <x v="21"/>
    <x v="1"/>
    <x v="20"/>
    <x v="21"/>
    <x v="3"/>
  </r>
  <r>
    <x v="22"/>
    <x v="22"/>
    <x v="2"/>
    <x v="21"/>
    <x v="22"/>
    <x v="14"/>
  </r>
  <r>
    <x v="23"/>
    <x v="23"/>
    <x v="0"/>
    <x v="22"/>
    <x v="23"/>
    <x v="15"/>
  </r>
  <r>
    <x v="24"/>
    <x v="24"/>
    <x v="5"/>
    <x v="23"/>
    <x v="24"/>
    <x v="16"/>
  </r>
  <r>
    <x v="25"/>
    <x v="25"/>
    <x v="6"/>
    <x v="24"/>
    <x v="25"/>
    <x v="17"/>
  </r>
  <r>
    <x v="26"/>
    <x v="26"/>
    <x v="3"/>
    <x v="25"/>
    <x v="26"/>
    <x v="1"/>
  </r>
  <r>
    <x v="27"/>
    <x v="27"/>
    <x v="3"/>
    <x v="26"/>
    <x v="27"/>
    <x v="18"/>
  </r>
  <r>
    <x v="28"/>
    <x v="28"/>
    <x v="8"/>
    <x v="27"/>
    <x v="28"/>
    <x v="19"/>
  </r>
  <r>
    <x v="29"/>
    <x v="29"/>
    <x v="6"/>
    <x v="28"/>
    <x v="29"/>
    <x v="6"/>
  </r>
  <r>
    <x v="30"/>
    <x v="30"/>
    <x v="5"/>
    <x v="29"/>
    <x v="30"/>
    <x v="3"/>
  </r>
  <r>
    <x v="31"/>
    <x v="31"/>
    <x v="6"/>
    <x v="30"/>
    <x v="31"/>
    <x v="20"/>
  </r>
  <r>
    <x v="32"/>
    <x v="32"/>
    <x v="6"/>
    <x v="31"/>
    <x v="32"/>
    <x v="5"/>
  </r>
  <r>
    <x v="33"/>
    <x v="33"/>
    <x v="4"/>
    <x v="32"/>
    <x v="33"/>
    <x v="21"/>
  </r>
  <r>
    <x v="34"/>
    <x v="34"/>
    <x v="7"/>
    <x v="33"/>
    <x v="34"/>
    <x v="17"/>
  </r>
  <r>
    <x v="35"/>
    <x v="35"/>
    <x v="3"/>
    <x v="34"/>
    <x v="35"/>
    <x v="12"/>
  </r>
  <r>
    <x v="36"/>
    <x v="36"/>
    <x v="7"/>
    <x v="16"/>
    <x v="36"/>
    <x v="5"/>
  </r>
  <r>
    <x v="37"/>
    <x v="37"/>
    <x v="1"/>
    <x v="2"/>
    <x v="37"/>
    <x v="16"/>
  </r>
  <r>
    <x v="38"/>
    <x v="38"/>
    <x v="1"/>
    <x v="35"/>
    <x v="38"/>
    <x v="7"/>
  </r>
  <r>
    <x v="39"/>
    <x v="39"/>
    <x v="8"/>
    <x v="36"/>
    <x v="39"/>
    <x v="6"/>
  </r>
  <r>
    <x v="40"/>
    <x v="40"/>
    <x v="1"/>
    <x v="37"/>
    <x v="40"/>
    <x v="22"/>
  </r>
  <r>
    <x v="41"/>
    <x v="41"/>
    <x v="2"/>
    <x v="38"/>
    <x v="41"/>
    <x v="6"/>
  </r>
  <r>
    <x v="42"/>
    <x v="42"/>
    <x v="2"/>
    <x v="39"/>
    <x v="42"/>
    <x v="23"/>
  </r>
  <r>
    <x v="43"/>
    <x v="43"/>
    <x v="5"/>
    <x v="8"/>
    <x v="43"/>
    <x v="21"/>
  </r>
  <r>
    <x v="44"/>
    <x v="44"/>
    <x v="0"/>
    <x v="40"/>
    <x v="44"/>
    <x v="7"/>
  </r>
  <r>
    <x v="45"/>
    <x v="45"/>
    <x v="4"/>
    <x v="41"/>
    <x v="45"/>
    <x v="2"/>
  </r>
  <r>
    <x v="46"/>
    <x v="46"/>
    <x v="3"/>
    <x v="42"/>
    <x v="46"/>
    <x v="19"/>
  </r>
  <r>
    <x v="47"/>
    <x v="47"/>
    <x v="7"/>
    <x v="43"/>
    <x v="47"/>
    <x v="24"/>
  </r>
  <r>
    <x v="48"/>
    <x v="48"/>
    <x v="1"/>
    <x v="44"/>
    <x v="48"/>
    <x v="6"/>
  </r>
  <r>
    <x v="49"/>
    <x v="49"/>
    <x v="6"/>
    <x v="45"/>
    <x v="4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AB4D7-06CA-4ED9-B489-6CFA5DA93393}" name="PivotTable2" cacheId="5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3:E14" firstHeaderRow="0" firstDataRow="1" firstDataCol="0" rowPageCount="1" colPageCount="1"/>
  <pivotFields count="6">
    <pivotField compact="0" outline="0" showAll="0"/>
    <pivotField compact="0" outline="0" showAll="0"/>
    <pivotField axis="axisPage" dataField="1" compact="0" outline="0" multipleItemSelectionAllowed="1" showAll="0">
      <items count="10">
        <item h="1" x="2"/>
        <item h="1" x="1"/>
        <item h="1" x="0"/>
        <item h="1" x="4"/>
        <item h="1" x="6"/>
        <item x="3"/>
        <item x="5"/>
        <item x="7"/>
        <item x="8"/>
        <item t="default"/>
      </items>
    </pivotField>
    <pivotField compact="0" numFmtId="14" outline="0" showAll="0"/>
    <pivotField dataField="1"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Average of Salary" fld="4" subtotal="average" baseField="0" baseItem="0"/>
    <dataField name="Count of Department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B3661-0F7F-4287-90B5-FD9779D9E3B6}" name="PivotTable1" cacheId="5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B18" firstHeaderRow="1" firstDataRow="1" firstDataCol="1"/>
  <pivotFields count="6">
    <pivotField compact="0" outline="0" showAll="0">
      <items count="51">
        <item x="49"/>
        <item x="26"/>
        <item x="5"/>
        <item x="3"/>
        <item x="2"/>
        <item x="12"/>
        <item x="6"/>
        <item x="20"/>
        <item x="9"/>
        <item x="46"/>
        <item x="25"/>
        <item x="37"/>
        <item x="16"/>
        <item x="28"/>
        <item x="13"/>
        <item x="39"/>
        <item x="10"/>
        <item x="27"/>
        <item x="33"/>
        <item x="31"/>
        <item x="43"/>
        <item x="8"/>
        <item x="48"/>
        <item x="18"/>
        <item x="23"/>
        <item x="22"/>
        <item x="4"/>
        <item x="35"/>
        <item x="1"/>
        <item x="34"/>
        <item x="45"/>
        <item x="30"/>
        <item x="42"/>
        <item x="40"/>
        <item x="44"/>
        <item x="17"/>
        <item x="11"/>
        <item x="15"/>
        <item x="19"/>
        <item x="47"/>
        <item x="32"/>
        <item x="14"/>
        <item x="21"/>
        <item x="29"/>
        <item x="0"/>
        <item x="38"/>
        <item x="24"/>
        <item x="7"/>
        <item x="36"/>
        <item x="41"/>
        <item t="default"/>
      </items>
    </pivotField>
    <pivotField compact="0" outline="0" showAll="0">
      <items count="51">
        <item x="27"/>
        <item x="46"/>
        <item x="25"/>
        <item x="39"/>
        <item x="43"/>
        <item x="21"/>
        <item x="33"/>
        <item x="35"/>
        <item x="12"/>
        <item x="16"/>
        <item x="42"/>
        <item x="11"/>
        <item x="3"/>
        <item x="45"/>
        <item x="26"/>
        <item x="38"/>
        <item x="28"/>
        <item x="36"/>
        <item x="4"/>
        <item x="44"/>
        <item x="49"/>
        <item x="22"/>
        <item x="7"/>
        <item x="41"/>
        <item x="32"/>
        <item x="9"/>
        <item x="18"/>
        <item x="17"/>
        <item x="2"/>
        <item x="10"/>
        <item x="47"/>
        <item x="29"/>
        <item x="30"/>
        <item x="6"/>
        <item x="31"/>
        <item x="37"/>
        <item x="13"/>
        <item x="5"/>
        <item x="24"/>
        <item x="34"/>
        <item x="1"/>
        <item x="15"/>
        <item x="0"/>
        <item x="23"/>
        <item x="14"/>
        <item x="19"/>
        <item x="8"/>
        <item x="40"/>
        <item x="20"/>
        <item x="48"/>
        <item t="default"/>
      </items>
    </pivotField>
    <pivotField axis="axisRow" compact="0" outline="0" showAll="0">
      <items count="10">
        <item x="2"/>
        <item x="1"/>
        <item x="0"/>
        <item x="4"/>
        <item x="6"/>
        <item x="3"/>
        <item x="5"/>
        <item x="7"/>
        <item x="8"/>
        <item t="default"/>
      </items>
    </pivotField>
    <pivotField compact="0" numFmtId="14" outline="0" showAll="0">
      <items count="47">
        <item x="43"/>
        <item x="28"/>
        <item x="3"/>
        <item x="33"/>
        <item x="45"/>
        <item x="18"/>
        <item x="39"/>
        <item x="15"/>
        <item x="1"/>
        <item x="31"/>
        <item x="6"/>
        <item x="35"/>
        <item x="16"/>
        <item x="24"/>
        <item x="9"/>
        <item x="38"/>
        <item x="2"/>
        <item x="17"/>
        <item x="29"/>
        <item x="25"/>
        <item x="30"/>
        <item x="21"/>
        <item x="11"/>
        <item x="4"/>
        <item x="26"/>
        <item x="19"/>
        <item x="10"/>
        <item x="13"/>
        <item x="8"/>
        <item x="12"/>
        <item x="40"/>
        <item x="42"/>
        <item x="14"/>
        <item x="37"/>
        <item x="41"/>
        <item x="22"/>
        <item x="36"/>
        <item x="32"/>
        <item x="27"/>
        <item x="44"/>
        <item x="23"/>
        <item x="20"/>
        <item x="5"/>
        <item x="7"/>
        <item x="0"/>
        <item x="34"/>
        <item t="default"/>
      </items>
    </pivotField>
    <pivotField dataField="1" compact="0" outline="0" showAll="0">
      <items count="51">
        <item x="42"/>
        <item x="19"/>
        <item x="27"/>
        <item x="31"/>
        <item x="30"/>
        <item x="7"/>
        <item x="33"/>
        <item x="3"/>
        <item x="9"/>
        <item x="21"/>
        <item x="22"/>
        <item x="40"/>
        <item x="20"/>
        <item x="46"/>
        <item x="10"/>
        <item x="29"/>
        <item x="5"/>
        <item x="15"/>
        <item x="45"/>
        <item x="44"/>
        <item x="4"/>
        <item x="38"/>
        <item x="34"/>
        <item x="18"/>
        <item x="37"/>
        <item x="0"/>
        <item x="43"/>
        <item x="11"/>
        <item x="12"/>
        <item x="39"/>
        <item x="35"/>
        <item x="23"/>
        <item x="28"/>
        <item x="49"/>
        <item x="32"/>
        <item x="14"/>
        <item x="16"/>
        <item x="26"/>
        <item x="24"/>
        <item x="1"/>
        <item x="25"/>
        <item x="17"/>
        <item x="47"/>
        <item x="6"/>
        <item x="48"/>
        <item x="2"/>
        <item x="13"/>
        <item x="36"/>
        <item x="8"/>
        <item x="41"/>
        <item t="default"/>
      </items>
    </pivotField>
    <pivotField compact="0" outline="0" showAll="0">
      <items count="26">
        <item x="24"/>
        <item x="2"/>
        <item x="19"/>
        <item x="6"/>
        <item x="9"/>
        <item x="17"/>
        <item x="0"/>
        <item x="21"/>
        <item x="5"/>
        <item x="23"/>
        <item x="10"/>
        <item x="16"/>
        <item x="1"/>
        <item x="11"/>
        <item x="15"/>
        <item x="3"/>
        <item x="13"/>
        <item x="18"/>
        <item x="20"/>
        <item x="8"/>
        <item x="22"/>
        <item x="14"/>
        <item x="12"/>
        <item x="7"/>
        <item x="4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ary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DA23E-3ACF-47F7-9B14-E559DB8FFD0C}" name="Table1" displayName="Table1" ref="A1:F51" totalsRowShown="0">
  <autoFilter ref="A1:F51" xr:uid="{EE8DA23E-3ACF-47F7-9B14-E559DB8FFD0C}"/>
  <sortState xmlns:xlrd2="http://schemas.microsoft.com/office/spreadsheetml/2017/richdata2" ref="A2:F51">
    <sortCondition descending="1" ref="E1:E51"/>
  </sortState>
  <tableColumns count="6">
    <tableColumn id="1" xr3:uid="{13F36080-9C15-44F3-A8FC-99619391956D}" name="Employee ID"/>
    <tableColumn id="2" xr3:uid="{03C3ADFF-2B49-4F90-8EB7-773255894DAF}" name="Name"/>
    <tableColumn id="3" xr3:uid="{27E7EF9C-D639-4F29-BC06-B7EE58D6CB2E}" name="Department">
      <calculatedColumnFormula>CHOOSE(RANDBETWEEN(1,9),
"HR","Sales","Finance","Data Analyst","IT Support","Data Science","Accounting","Marketing","Customer")</calculatedColumnFormula>
    </tableColumn>
    <tableColumn id="4" xr3:uid="{14CCFA3D-3D8C-4E13-86D2-2EE50417D48B}" name="Joining Date" dataDxfId="6">
      <calculatedColumnFormula>RANDBETWEEN(DATE(2023,20,4), DATE(2025,12,31))</calculatedColumnFormula>
    </tableColumn>
    <tableColumn id="5" xr3:uid="{C7176FBF-4BFD-4B73-8AC9-C5D706AA159E}" name="Salary">
      <calculatedColumnFormula>RANDBETWEEN(40000,100000)</calculatedColumnFormula>
    </tableColumn>
    <tableColumn id="6" xr3:uid="{73688E7E-7768-4CDB-9119-AA6B9ADF6AD8}" name="Performance score">
      <calculatedColumnFormula>RANDBETWEEN(60,90)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1AD5F3-EEAD-42E7-99C4-FE31CDB9F88F}" name="Table2" displayName="Table2" ref="A1:D51" totalsRowShown="0">
  <autoFilter ref="A1:D51" xr:uid="{831AD5F3-EEAD-42E7-99C4-FE31CDB9F88F}"/>
  <sortState xmlns:xlrd2="http://schemas.microsoft.com/office/spreadsheetml/2017/richdata2" ref="A2:D51">
    <sortCondition descending="1" ref="C1:C51"/>
  </sortState>
  <tableColumns count="4">
    <tableColumn id="1" xr3:uid="{61DD33E8-89C3-4775-8F63-6F11C38710EE}" name="Product ID "/>
    <tableColumn id="2" xr3:uid="{4AD4034B-DB82-4EAE-9EEA-1E141A576964}" name="Product Name" dataDxfId="4">
      <calculatedColumnFormula array="1">INDEX($H$2:$H$11, RANDBETWEEN(1,10))</calculatedColumnFormula>
    </tableColumn>
    <tableColumn id="3" xr3:uid="{90C93F0C-383F-4B2A-8B8D-5A238A5A2DB0}" name="Category" dataDxfId="3">
      <calculatedColumnFormula>VLOOKUP(B2, $H$2:$I$11, 2, FALSE)</calculatedColumnFormula>
    </tableColumn>
    <tableColumn id="4" xr3:uid="{6C1BE22E-3D53-411F-9015-CE32A2E29586}" name="Price">
      <calculatedColumnFormula>RANDBETWEEN(500,1000)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AD68E3-2C68-46A3-946B-D1CB59DC321D}" name="Table3" displayName="Table3" ref="A1:F51" totalsRowShown="0">
  <autoFilter ref="A1:F51" xr:uid="{A1AD68E3-2C68-46A3-946B-D1CB59DC321D}"/>
  <sortState xmlns:xlrd2="http://schemas.microsoft.com/office/spreadsheetml/2017/richdata2" ref="A2:F51">
    <sortCondition descending="1" ref="F1:F51"/>
  </sortState>
  <tableColumns count="6">
    <tableColumn id="1" xr3:uid="{8034D886-BD64-442D-8C3D-34CD45E33DD0}" name="Sales ID"/>
    <tableColumn id="2" xr3:uid="{EC20B30D-45AF-4007-ACF3-6C39D599BD7A}" name="Employee ID"/>
    <tableColumn id="3" xr3:uid="{485860E6-042D-4AE4-B226-109A1FE6FCD2}" name="Product ID"/>
    <tableColumn id="4" xr3:uid="{707A25F5-6193-4321-BA62-1D221988B485}" name="Units Sold" dataDxfId="2">
      <calculatedColumnFormula>RANDBETWEEN(1,3)</calculatedColumnFormula>
    </tableColumn>
    <tableColumn id="5" xr3:uid="{87E0346C-7A42-4D77-B2F6-5999AE294FBB}" name="Sale Date" dataDxfId="1">
      <calculatedColumnFormula>RANDBETWEEN(DATE(2024,1,1), DATE(2024,12,31))</calculatedColumnFormula>
    </tableColumn>
    <tableColumn id="6" xr3:uid="{4AE2DA69-8359-4F68-9A1E-499B1ACCCE9A}" name="Sale Amount" dataDxfId="0">
      <calculatedColumnFormula>D2 * VLOOKUP(C2, Product!$A$2:$D$51, 4, FALSE)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raju@gmail.com" TargetMode="External"/><Relationship Id="rId2" Type="http://schemas.openxmlformats.org/officeDocument/2006/relationships/hyperlink" Target="mailto:teja@gmail.com" TargetMode="External"/><Relationship Id="rId1" Type="http://schemas.openxmlformats.org/officeDocument/2006/relationships/hyperlink" Target="mailto:asha@gmail.com" TargetMode="External"/><Relationship Id="rId4" Type="http://schemas.openxmlformats.org/officeDocument/2006/relationships/hyperlink" Target="mailto:te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0"/>
  <sheetViews>
    <sheetView tabSelected="1" workbookViewId="0">
      <selection activeCell="G17" sqref="G17"/>
    </sheetView>
  </sheetViews>
  <sheetFormatPr defaultRowHeight="15"/>
  <cols>
    <col min="2" max="2" width="10.140625" bestFit="1" customWidth="1"/>
    <col min="4" max="4" width="9.85546875" customWidth="1"/>
    <col min="8" max="8" width="9.42578125" customWidth="1"/>
    <col min="10" max="10" width="14.5703125" bestFit="1" customWidth="1"/>
    <col min="11" max="11" width="22.140625" bestFit="1" customWidth="1"/>
    <col min="12" max="12" width="14.5703125" bestFit="1" customWidth="1"/>
  </cols>
  <sheetData>
    <row r="1" spans="2:18">
      <c r="B1" s="18" t="s">
        <v>0</v>
      </c>
      <c r="C1" s="19" t="s">
        <v>1</v>
      </c>
      <c r="D1" s="20" t="s">
        <v>2</v>
      </c>
      <c r="H1" s="30"/>
      <c r="I1" s="19"/>
      <c r="J1" s="19" t="s">
        <v>3</v>
      </c>
      <c r="K1" s="34"/>
      <c r="L1" s="31"/>
    </row>
    <row r="2" spans="2:18">
      <c r="B2" s="21">
        <v>2</v>
      </c>
      <c r="C2" s="22">
        <v>3</v>
      </c>
      <c r="D2" s="23">
        <f>B2+C2</f>
        <v>5</v>
      </c>
      <c r="H2" s="24">
        <v>3</v>
      </c>
      <c r="I2" s="25">
        <v>4</v>
      </c>
      <c r="J2" s="25">
        <v>2</v>
      </c>
      <c r="K2" s="25">
        <v>5</v>
      </c>
      <c r="L2" s="26">
        <f>AVERAGE(H2:K2)</f>
        <v>3.5</v>
      </c>
    </row>
    <row r="3" spans="2:18">
      <c r="B3" s="21"/>
      <c r="C3" s="22"/>
      <c r="D3" s="23"/>
    </row>
    <row r="4" spans="2:18">
      <c r="B4" s="21">
        <v>6</v>
      </c>
      <c r="C4" s="22">
        <v>4</v>
      </c>
      <c r="D4" s="23">
        <f>B4-C4</f>
        <v>2</v>
      </c>
    </row>
    <row r="5" spans="2:18">
      <c r="B5" s="21"/>
      <c r="C5" s="22"/>
      <c r="D5" s="23"/>
    </row>
    <row r="6" spans="2:18">
      <c r="B6" s="21">
        <v>4</v>
      </c>
      <c r="C6" s="22">
        <v>7</v>
      </c>
      <c r="D6" s="23">
        <f>B6*C6</f>
        <v>28</v>
      </c>
      <c r="J6" s="30"/>
      <c r="K6" s="34"/>
      <c r="L6" s="19" t="s">
        <v>4</v>
      </c>
      <c r="M6" s="34"/>
      <c r="N6" s="34"/>
      <c r="O6" s="31"/>
    </row>
    <row r="7" spans="2:18">
      <c r="B7" s="21"/>
      <c r="C7" s="22"/>
      <c r="D7" s="23"/>
      <c r="J7" s="21">
        <f ca="1">RANDBETWEEN(1,20)</f>
        <v>20</v>
      </c>
      <c r="K7" s="22">
        <f t="shared" ref="K7:O17" ca="1" si="0">RANDBETWEEN(1,20)</f>
        <v>6</v>
      </c>
      <c r="L7" s="22">
        <f t="shared" ca="1" si="0"/>
        <v>7</v>
      </c>
      <c r="M7" s="22">
        <f t="shared" ca="1" si="0"/>
        <v>16</v>
      </c>
      <c r="N7" s="22">
        <f t="shared" ca="1" si="0"/>
        <v>17</v>
      </c>
      <c r="O7" s="23">
        <v>13</v>
      </c>
    </row>
    <row r="8" spans="2:18">
      <c r="B8" s="24">
        <v>6</v>
      </c>
      <c r="C8" s="25">
        <v>3</v>
      </c>
      <c r="D8" s="26">
        <f>B8/C8</f>
        <v>2</v>
      </c>
      <c r="J8" s="21">
        <f t="shared" ref="J8:J17" ca="1" si="1">RANDBETWEEN(1,20)</f>
        <v>11</v>
      </c>
      <c r="K8" s="22">
        <f t="shared" ca="1" si="0"/>
        <v>6</v>
      </c>
      <c r="L8" s="22">
        <f t="shared" ca="1" si="0"/>
        <v>3</v>
      </c>
      <c r="M8" s="22">
        <f t="shared" ca="1" si="0"/>
        <v>6</v>
      </c>
      <c r="N8" s="22">
        <f t="shared" ca="1" si="0"/>
        <v>19</v>
      </c>
      <c r="O8" s="22">
        <f t="shared" ca="1" si="0"/>
        <v>13</v>
      </c>
      <c r="P8" s="30"/>
      <c r="Q8" s="19" t="s">
        <v>3</v>
      </c>
      <c r="R8" s="31">
        <f ca="1">AVERAGE(J7:O17)</f>
        <v>10.515151515151516</v>
      </c>
    </row>
    <row r="9" spans="2:18">
      <c r="J9" s="21">
        <f t="shared" ca="1" si="1"/>
        <v>5</v>
      </c>
      <c r="K9" s="22">
        <f t="shared" ca="1" si="0"/>
        <v>6</v>
      </c>
      <c r="L9" s="22">
        <f t="shared" ca="1" si="0"/>
        <v>3</v>
      </c>
      <c r="M9" s="22">
        <f t="shared" ca="1" si="0"/>
        <v>16</v>
      </c>
      <c r="N9" s="22">
        <f t="shared" ca="1" si="0"/>
        <v>8</v>
      </c>
      <c r="O9" s="22">
        <f t="shared" ca="1" si="0"/>
        <v>14</v>
      </c>
      <c r="P9" s="21"/>
      <c r="Q9" s="33" t="s">
        <v>5</v>
      </c>
      <c r="R9" s="23">
        <f ca="1">MAX(J7:O17)</f>
        <v>20</v>
      </c>
    </row>
    <row r="10" spans="2:18">
      <c r="J10" s="21">
        <f t="shared" ca="1" si="1"/>
        <v>1</v>
      </c>
      <c r="K10" s="22">
        <f t="shared" ca="1" si="0"/>
        <v>12</v>
      </c>
      <c r="L10" s="22">
        <f t="shared" ca="1" si="0"/>
        <v>18</v>
      </c>
      <c r="M10" s="22">
        <f t="shared" ca="1" si="0"/>
        <v>8</v>
      </c>
      <c r="N10" s="22">
        <f t="shared" ca="1" si="0"/>
        <v>5</v>
      </c>
      <c r="O10" s="22">
        <f t="shared" ca="1" si="0"/>
        <v>6</v>
      </c>
      <c r="P10" s="21"/>
      <c r="Q10" s="33" t="s">
        <v>6</v>
      </c>
      <c r="R10" s="23">
        <f ca="1">MIN(J7:O17)</f>
        <v>1</v>
      </c>
    </row>
    <row r="11" spans="2:18">
      <c r="J11" s="21">
        <f t="shared" ca="1" si="1"/>
        <v>6</v>
      </c>
      <c r="K11" s="22">
        <f t="shared" ca="1" si="0"/>
        <v>12</v>
      </c>
      <c r="L11" s="22">
        <f t="shared" ca="1" si="0"/>
        <v>20</v>
      </c>
      <c r="M11" s="22">
        <f t="shared" ca="1" si="0"/>
        <v>9</v>
      </c>
      <c r="N11" s="22">
        <f t="shared" ca="1" si="0"/>
        <v>19</v>
      </c>
      <c r="O11" s="22">
        <f t="shared" ca="1" si="0"/>
        <v>19</v>
      </c>
      <c r="P11" s="24"/>
      <c r="Q11" s="35" t="s">
        <v>7</v>
      </c>
      <c r="R11" s="26">
        <f ca="1">COUNT(J7:O17)</f>
        <v>66</v>
      </c>
    </row>
    <row r="12" spans="2:18">
      <c r="J12" s="21">
        <f t="shared" ca="1" si="1"/>
        <v>20</v>
      </c>
      <c r="K12" s="22">
        <f t="shared" ca="1" si="0"/>
        <v>4</v>
      </c>
      <c r="L12" s="22">
        <f t="shared" ca="1" si="0"/>
        <v>5</v>
      </c>
      <c r="M12" s="22">
        <f t="shared" ca="1" si="0"/>
        <v>6</v>
      </c>
      <c r="N12" s="22">
        <f t="shared" ca="1" si="0"/>
        <v>17</v>
      </c>
      <c r="O12" s="23">
        <f t="shared" ca="1" si="0"/>
        <v>2</v>
      </c>
    </row>
    <row r="13" spans="2:18">
      <c r="J13" s="21">
        <f t="shared" ca="1" si="1"/>
        <v>1</v>
      </c>
      <c r="K13" s="22">
        <f t="shared" ca="1" si="0"/>
        <v>3</v>
      </c>
      <c r="L13" s="22">
        <f t="shared" ca="1" si="0"/>
        <v>11</v>
      </c>
      <c r="M13" s="22">
        <f t="shared" ca="1" si="0"/>
        <v>10</v>
      </c>
      <c r="N13" s="22">
        <f t="shared" ca="1" si="0"/>
        <v>19</v>
      </c>
      <c r="O13" s="23">
        <f t="shared" ca="1" si="0"/>
        <v>10</v>
      </c>
    </row>
    <row r="14" spans="2:18">
      <c r="J14" s="21">
        <f t="shared" ca="1" si="1"/>
        <v>17</v>
      </c>
      <c r="K14" s="22">
        <f t="shared" ca="1" si="0"/>
        <v>18</v>
      </c>
      <c r="L14" s="22">
        <f t="shared" ca="1" si="0"/>
        <v>11</v>
      </c>
      <c r="M14" s="22">
        <f t="shared" ca="1" si="0"/>
        <v>19</v>
      </c>
      <c r="N14" s="22">
        <f t="shared" ca="1" si="0"/>
        <v>9</v>
      </c>
      <c r="O14" s="23">
        <f t="shared" ca="1" si="0"/>
        <v>13</v>
      </c>
    </row>
    <row r="15" spans="2:18">
      <c r="J15" s="21">
        <f t="shared" ca="1" si="1"/>
        <v>20</v>
      </c>
      <c r="K15" s="22">
        <f t="shared" ca="1" si="0"/>
        <v>3</v>
      </c>
      <c r="L15" s="22">
        <f t="shared" ca="1" si="0"/>
        <v>3</v>
      </c>
      <c r="M15" s="22">
        <f t="shared" ca="1" si="0"/>
        <v>6</v>
      </c>
      <c r="N15" s="22">
        <f t="shared" ca="1" si="0"/>
        <v>18</v>
      </c>
      <c r="O15" s="23">
        <f t="shared" ca="1" si="0"/>
        <v>9</v>
      </c>
    </row>
    <row r="16" spans="2:18">
      <c r="J16" s="21">
        <f t="shared" ca="1" si="1"/>
        <v>14</v>
      </c>
      <c r="K16" s="22">
        <f t="shared" ca="1" si="0"/>
        <v>6</v>
      </c>
      <c r="L16" s="22">
        <f t="shared" ca="1" si="0"/>
        <v>18</v>
      </c>
      <c r="M16" s="22">
        <f t="shared" ca="1" si="0"/>
        <v>2</v>
      </c>
      <c r="N16" s="22">
        <f t="shared" ca="1" si="0"/>
        <v>13</v>
      </c>
      <c r="O16" s="23">
        <f t="shared" ca="1" si="0"/>
        <v>13</v>
      </c>
    </row>
    <row r="17" spans="2:15">
      <c r="J17" s="24">
        <f t="shared" ca="1" si="1"/>
        <v>8</v>
      </c>
      <c r="K17" s="25">
        <f t="shared" ca="1" si="0"/>
        <v>6</v>
      </c>
      <c r="L17" s="25">
        <f t="shared" ca="1" si="0"/>
        <v>5</v>
      </c>
      <c r="M17" s="25">
        <f t="shared" ca="1" si="0"/>
        <v>8</v>
      </c>
      <c r="N17" s="25">
        <f t="shared" ca="1" si="0"/>
        <v>15</v>
      </c>
      <c r="O17" s="26">
        <f t="shared" ca="1" si="0"/>
        <v>8</v>
      </c>
    </row>
    <row r="19" spans="2:15">
      <c r="K19" s="30"/>
      <c r="L19" s="19" t="s">
        <v>8</v>
      </c>
      <c r="M19" s="31"/>
    </row>
    <row r="20" spans="2:15">
      <c r="K20" s="21" t="s">
        <v>9</v>
      </c>
      <c r="L20" s="22" t="s">
        <v>10</v>
      </c>
      <c r="M20" s="23" t="s">
        <v>11</v>
      </c>
    </row>
    <row r="21" spans="2:15">
      <c r="B21" t="s">
        <v>12</v>
      </c>
      <c r="E21" s="30"/>
      <c r="F21" s="19" t="s">
        <v>13</v>
      </c>
      <c r="G21" s="34"/>
      <c r="H21" s="31"/>
      <c r="K21" s="21">
        <v>1</v>
      </c>
      <c r="L21" s="22" t="s">
        <v>14</v>
      </c>
      <c r="M21" s="23">
        <v>13</v>
      </c>
    </row>
    <row r="22" spans="2:15">
      <c r="B22" t="s">
        <v>15</v>
      </c>
      <c r="E22" s="21" t="s">
        <v>16</v>
      </c>
      <c r="F22" s="22" t="s">
        <v>11</v>
      </c>
      <c r="G22" s="22"/>
      <c r="H22" s="23"/>
      <c r="K22" s="21">
        <v>2</v>
      </c>
      <c r="L22" s="22" t="s">
        <v>17</v>
      </c>
      <c r="M22" s="23">
        <v>10</v>
      </c>
    </row>
    <row r="23" spans="2:15">
      <c r="B23" t="s">
        <v>18</v>
      </c>
      <c r="E23" s="21">
        <v>1</v>
      </c>
      <c r="F23" s="22">
        <f ca="1">RANDBETWEEN(10000,25000)</f>
        <v>15297</v>
      </c>
      <c r="G23" s="22" t="s">
        <v>12</v>
      </c>
      <c r="H23" s="23" t="str">
        <f ca="1">IF(F23&gt;F24,"yes","no")</f>
        <v>no</v>
      </c>
      <c r="K23" s="21">
        <v>3</v>
      </c>
      <c r="L23" s="22" t="s">
        <v>19</v>
      </c>
      <c r="M23" s="23">
        <v>20</v>
      </c>
    </row>
    <row r="24" spans="2:15" ht="29.25">
      <c r="B24" t="s">
        <v>8</v>
      </c>
      <c r="E24" s="21">
        <v>2</v>
      </c>
      <c r="F24" s="22">
        <f t="shared" ref="F24:F27" ca="1" si="2">RANDBETWEEN(10000,25000)</f>
        <v>18181</v>
      </c>
      <c r="G24" s="22" t="s">
        <v>15</v>
      </c>
      <c r="H24" s="36" t="str">
        <f ca="1">IF(OR(F23&gt;F24&gt;F25&gt;F26&gt;F27),"yes","no")</f>
        <v>yes</v>
      </c>
      <c r="K24" s="21">
        <v>4</v>
      </c>
      <c r="L24" s="22" t="s">
        <v>20</v>
      </c>
      <c r="M24" s="23">
        <v>15</v>
      </c>
    </row>
    <row r="25" spans="2:15">
      <c r="E25" s="21">
        <v>3</v>
      </c>
      <c r="F25" s="22">
        <f t="shared" ca="1" si="2"/>
        <v>17300</v>
      </c>
      <c r="G25" s="22"/>
      <c r="H25" s="23"/>
      <c r="K25" s="32" t="s">
        <v>21</v>
      </c>
      <c r="L25" s="22"/>
      <c r="M25" s="23"/>
    </row>
    <row r="26" spans="2:15">
      <c r="E26" s="21">
        <v>4</v>
      </c>
      <c r="F26" s="22">
        <f t="shared" ca="1" si="2"/>
        <v>22858</v>
      </c>
      <c r="G26" s="22"/>
      <c r="H26" s="23"/>
      <c r="K26" s="32" t="s">
        <v>22</v>
      </c>
      <c r="L26" s="33" t="s">
        <v>23</v>
      </c>
      <c r="M26" s="23"/>
    </row>
    <row r="27" spans="2:15">
      <c r="E27" s="21">
        <v>5</v>
      </c>
      <c r="F27" s="22">
        <f t="shared" ca="1" si="2"/>
        <v>19622</v>
      </c>
      <c r="G27" s="22"/>
      <c r="H27" s="23"/>
      <c r="K27" s="21">
        <v>3</v>
      </c>
      <c r="L27" s="22">
        <f>VLOOKUP(K27,K20:M24,3)</f>
        <v>20</v>
      </c>
      <c r="M27" s="23"/>
    </row>
    <row r="28" spans="2:15">
      <c r="E28" s="21"/>
      <c r="F28" s="22"/>
      <c r="G28" s="22"/>
      <c r="H28" s="23"/>
      <c r="K28" s="24"/>
      <c r="L28" s="25"/>
      <c r="M28" s="26"/>
    </row>
    <row r="29" spans="2:15">
      <c r="E29" s="21"/>
      <c r="F29" s="22"/>
      <c r="G29" s="22"/>
      <c r="H29" s="23"/>
    </row>
    <row r="30" spans="2:15">
      <c r="E30" s="24">
        <v>5</v>
      </c>
      <c r="F30" s="25" t="s">
        <v>24</v>
      </c>
      <c r="G30" s="25" t="s">
        <v>18</v>
      </c>
      <c r="H30" s="26" t="str">
        <f>IFERROR(E30*F30,"error")</f>
        <v>error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1F1A-5F74-4C91-A6D2-35EDB7C37F3F}">
  <dimension ref="A1:O57"/>
  <sheetViews>
    <sheetView workbookViewId="0">
      <selection activeCell="H15" sqref="H15"/>
    </sheetView>
  </sheetViews>
  <sheetFormatPr defaultRowHeight="15"/>
  <cols>
    <col min="1" max="1" width="14.28515625" bestFit="1" customWidth="1"/>
    <col min="2" max="2" width="10.5703125" bestFit="1" customWidth="1"/>
    <col min="3" max="3" width="15" customWidth="1"/>
    <col min="4" max="4" width="13.85546875" bestFit="1" customWidth="1"/>
    <col min="6" max="6" width="20" bestFit="1" customWidth="1"/>
    <col min="8" max="8" width="14.85546875" customWidth="1"/>
    <col min="9" max="9" width="11.28515625" bestFit="1" customWidth="1"/>
    <col min="10" max="10" width="20.7109375" bestFit="1" customWidth="1"/>
    <col min="11" max="11" width="9.5703125" bestFit="1" customWidth="1"/>
    <col min="12" max="12" width="24.28515625" bestFit="1" customWidth="1"/>
    <col min="13" max="13" width="19" bestFit="1" customWidth="1"/>
    <col min="14" max="14" width="16.42578125" bestFit="1" customWidth="1"/>
    <col min="15" max="15" width="22.42578125" bestFit="1" customWidth="1"/>
  </cols>
  <sheetData>
    <row r="1" spans="1:1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H1" s="37" t="s">
        <v>31</v>
      </c>
      <c r="I1" s="38"/>
      <c r="J1" s="38"/>
      <c r="K1" s="38"/>
      <c r="L1" s="38"/>
      <c r="M1" s="38"/>
      <c r="N1" s="38"/>
      <c r="O1" s="39"/>
    </row>
    <row r="2" spans="1:15">
      <c r="A2" t="s">
        <v>32</v>
      </c>
      <c r="B2" t="s">
        <v>33</v>
      </c>
      <c r="C2" s="1" t="str">
        <f ca="1">CHOOSE(RANDBETWEEN(1,9),
"HR","Sales","Finance","Data Analyst","IT Support","Data Science","Accounting","Marketing","Customer")</f>
        <v>Customer</v>
      </c>
      <c r="D2" s="2">
        <f ca="1">RANDBETWEEN(DATE(2023,20,4), DATE(2025,12,31))</f>
        <v>45637</v>
      </c>
      <c r="E2">
        <f ca="1">RANDBETWEEN(40000,100000)</f>
        <v>97694</v>
      </c>
      <c r="F2">
        <f ca="1">RANDBETWEEN(60,90)</f>
        <v>90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8" t="s">
        <v>39</v>
      </c>
      <c r="N2" s="7" t="s">
        <v>40</v>
      </c>
      <c r="O2" s="7" t="s">
        <v>41</v>
      </c>
    </row>
    <row r="3" spans="1:15">
      <c r="A3" t="s">
        <v>42</v>
      </c>
      <c r="B3" t="s">
        <v>43</v>
      </c>
      <c r="C3" s="1" t="str">
        <f ca="1">CHOOSE(RANDBETWEEN(1,9),
"HR","Sales","Finance","Data Analyst","IT Support","Data Science","Accounting","Marketing","Customer")</f>
        <v>Sales</v>
      </c>
      <c r="D3" s="2">
        <f ca="1">RANDBETWEEN(DATE(2023,20,4), DATE(2025,12,31))</f>
        <v>45897</v>
      </c>
      <c r="E3">
        <f ca="1">RANDBETWEEN(40000,100000)</f>
        <v>76794</v>
      </c>
      <c r="F3">
        <f ca="1">RANDBETWEEN(60,90)</f>
        <v>67</v>
      </c>
      <c r="H3" s="7">
        <f>COUNTA(A2:A53)</f>
        <v>50</v>
      </c>
      <c r="I3" s="7">
        <f ca="1">SUM(E2:E51)</f>
        <v>3618376</v>
      </c>
      <c r="J3" s="7">
        <f ca="1">AVERAGE(E2:E51)</f>
        <v>72367.520000000004</v>
      </c>
      <c r="K3" s="7">
        <f ca="1">MIN(E2:E51)</f>
        <v>40705</v>
      </c>
      <c r="L3" s="7">
        <f ca="1">MAX(E2:E51)</f>
        <v>99594</v>
      </c>
      <c r="M3" s="8">
        <f ca="1">AVERAGE(F2:F51)</f>
        <v>74.08</v>
      </c>
      <c r="N3" s="7">
        <f ca="1">COUNTIF(C2:C51,"IT Support")</f>
        <v>4</v>
      </c>
      <c r="O3" s="7">
        <f ca="1">AVERAGEIF(C2:C100,"HR",E2:E100)</f>
        <v>78198.600000000006</v>
      </c>
    </row>
    <row r="4" spans="1:15">
      <c r="A4" t="s">
        <v>44</v>
      </c>
      <c r="B4" t="s">
        <v>45</v>
      </c>
      <c r="C4" s="1" t="str">
        <f ca="1">CHOOSE(RANDBETWEEN(1,9),
"HR","Sales","Finance","Data Analyst","IT Support","Data Science","Accounting","Marketing","Customer")</f>
        <v>Sales</v>
      </c>
      <c r="D4" s="2">
        <f ca="1">RANDBETWEEN(DATE(2023,20,4), DATE(2025,12,31))</f>
        <v>45695</v>
      </c>
      <c r="E4">
        <f ca="1">RANDBETWEEN(40000,100000)</f>
        <v>41810</v>
      </c>
      <c r="F4">
        <f ca="1">RANDBETWEEN(60,90)</f>
        <v>73</v>
      </c>
    </row>
    <row r="5" spans="1:15">
      <c r="A5" t="s">
        <v>46</v>
      </c>
      <c r="B5" t="s">
        <v>47</v>
      </c>
      <c r="C5" s="1" t="str">
        <f ca="1">CHOOSE(RANDBETWEEN(1,9),
"HR","Sales","Finance","Data Analyst","IT Support","Data Science","Accounting","Marketing","Customer")</f>
        <v>Marketing</v>
      </c>
      <c r="D5" s="2">
        <f ca="1">RANDBETWEEN(DATE(2023,20,4), DATE(2025,12,31))</f>
        <v>45993</v>
      </c>
      <c r="E5">
        <f ca="1">RANDBETWEEN(40000,100000)</f>
        <v>86325</v>
      </c>
      <c r="F5">
        <f ca="1">RANDBETWEEN(60,90)</f>
        <v>69</v>
      </c>
    </row>
    <row r="6" spans="1:15">
      <c r="A6" t="s">
        <v>48</v>
      </c>
      <c r="B6" t="s">
        <v>49</v>
      </c>
      <c r="C6" s="1" t="str">
        <f ca="1">CHOOSE(RANDBETWEEN(1,9),
"HR","Sales","Finance","Data Analyst","IT Support","Data Science","Accounting","Marketing","Customer")</f>
        <v>Finance</v>
      </c>
      <c r="D6" s="2">
        <f ca="1">RANDBETWEEN(DATE(2023,20,4), DATE(2025,12,31))</f>
        <v>45606</v>
      </c>
      <c r="E6">
        <f ca="1">RANDBETWEEN(40000,100000)</f>
        <v>52391</v>
      </c>
      <c r="F6">
        <f ca="1">RANDBETWEEN(60,90)</f>
        <v>72</v>
      </c>
      <c r="J6" s="6" t="s">
        <v>50</v>
      </c>
      <c r="L6" s="6" t="s">
        <v>51</v>
      </c>
    </row>
    <row r="7" spans="1:15">
      <c r="A7" t="s">
        <v>52</v>
      </c>
      <c r="B7" t="s">
        <v>53</v>
      </c>
      <c r="C7" s="1" t="str">
        <f ca="1">CHOOSE(RANDBETWEEN(1,9),
"HR","Sales","Finance","Data Analyst","IT Support","Data Science","Accounting","Marketing","Customer")</f>
        <v>Data Science</v>
      </c>
      <c r="D7" s="2">
        <f ca="1">RANDBETWEEN(DATE(2023,20,4), DATE(2025,12,31))</f>
        <v>45741</v>
      </c>
      <c r="E7">
        <f ca="1">RANDBETWEEN(40000,100000)</f>
        <v>44778</v>
      </c>
      <c r="F7">
        <f ca="1">RANDBETWEEN(60,90)</f>
        <v>67</v>
      </c>
      <c r="J7" s="3" t="s">
        <v>54</v>
      </c>
      <c r="L7" s="3" t="s">
        <v>55</v>
      </c>
    </row>
    <row r="8" spans="1:15">
      <c r="A8" t="s">
        <v>56</v>
      </c>
      <c r="B8" t="s">
        <v>57</v>
      </c>
      <c r="C8" s="1" t="str">
        <f ca="1">CHOOSE(RANDBETWEEN(1,9),
"HR","Sales","Finance","Data Analyst","IT Support","Data Science","Accounting","Marketing","Customer")</f>
        <v>IT Support</v>
      </c>
      <c r="D8" s="2">
        <f ca="1">RANDBETWEEN(DATE(2023,20,4), DATE(2025,12,31))</f>
        <v>45664</v>
      </c>
      <c r="E8">
        <f ca="1">RANDBETWEEN(40000,100000)</f>
        <v>83695</v>
      </c>
      <c r="F8">
        <f ca="1">RANDBETWEEN(60,90)</f>
        <v>63</v>
      </c>
      <c r="J8" s="4" cm="1">
        <f t="array" aca="1" ref="J8:J57" ca="1">DATEDIF(D2:D51,TODAY(),"Y")</f>
        <v>0</v>
      </c>
      <c r="L8" s="4" t="str">
        <f ca="1">IF(E2&gt;50000,"High","Normal")</f>
        <v>High</v>
      </c>
    </row>
    <row r="9" spans="1:15">
      <c r="A9" t="s">
        <v>58</v>
      </c>
      <c r="B9" t="s">
        <v>59</v>
      </c>
      <c r="C9" s="1" t="str">
        <f ca="1">CHOOSE(RANDBETWEEN(1,9),
"HR","Sales","Finance","Data Analyst","IT Support","Data Science","Accounting","Marketing","Customer")</f>
        <v>Sales</v>
      </c>
      <c r="D9" s="2">
        <f ca="1">RANDBETWEEN(DATE(2023,20,4), DATE(2025,12,31))</f>
        <v>45632</v>
      </c>
      <c r="E9">
        <f ca="1">RANDBETWEEN(40000,100000)</f>
        <v>79645</v>
      </c>
      <c r="F9">
        <f ca="1">RANDBETWEEN(60,90)</f>
        <v>78</v>
      </c>
      <c r="J9" s="4">
        <f ca="1"/>
        <v>0</v>
      </c>
      <c r="L9" s="4" t="str">
        <f t="shared" ref="L9:L57" ca="1" si="0">IF(E3&gt;50000,"High","Normal")</f>
        <v>High</v>
      </c>
    </row>
    <row r="10" spans="1:15">
      <c r="A10" t="s">
        <v>60</v>
      </c>
      <c r="B10" t="s">
        <v>61</v>
      </c>
      <c r="C10" s="1" t="str">
        <f ca="1">CHOOSE(RANDBETWEEN(1,9),
"HR","Sales","Finance","Data Analyst","IT Support","Data Science","Accounting","Marketing","Customer")</f>
        <v>Finance</v>
      </c>
      <c r="D10" s="2">
        <f ca="1">RANDBETWEEN(DATE(2023,20,4), DATE(2025,12,31))</f>
        <v>45994</v>
      </c>
      <c r="E10">
        <f ca="1">RANDBETWEEN(40000,100000)</f>
        <v>53903</v>
      </c>
      <c r="F10">
        <f ca="1">RANDBETWEEN(60,90)</f>
        <v>76</v>
      </c>
      <c r="J10" s="4">
        <f ca="1"/>
        <v>0</v>
      </c>
      <c r="L10" s="4" t="str">
        <f t="shared" ca="1" si="0"/>
        <v>Normal</v>
      </c>
    </row>
    <row r="11" spans="1:15">
      <c r="A11" t="s">
        <v>62</v>
      </c>
      <c r="B11" t="s">
        <v>63</v>
      </c>
      <c r="C11" s="1" t="str">
        <f ca="1">CHOOSE(RANDBETWEEN(1,9),
"HR","Sales","Finance","Data Analyst","IT Support","Data Science","Accounting","Marketing","Customer")</f>
        <v>Finance</v>
      </c>
      <c r="D11" s="2">
        <f ca="1">RANDBETWEEN(DATE(2023,20,4), DATE(2025,12,31))</f>
        <v>45651</v>
      </c>
      <c r="E11">
        <f ca="1">RANDBETWEEN(40000,100000)</f>
        <v>46917</v>
      </c>
      <c r="F11">
        <f ca="1">RANDBETWEEN(60,90)</f>
        <v>71</v>
      </c>
      <c r="J11" s="4" t="e">
        <f ca="1"/>
        <v>#NUM!</v>
      </c>
      <c r="L11" s="4" t="str">
        <f t="shared" ca="1" si="0"/>
        <v>High</v>
      </c>
    </row>
    <row r="12" spans="1:15">
      <c r="A12" t="s">
        <v>64</v>
      </c>
      <c r="B12" t="s">
        <v>65</v>
      </c>
      <c r="C12" s="1" t="str">
        <f ca="1">CHOOSE(RANDBETWEEN(1,9),
"HR","Sales","Finance","Data Analyst","IT Support","Data Science","Accounting","Marketing","Customer")</f>
        <v>Finance</v>
      </c>
      <c r="D12" s="2">
        <f ca="1">RANDBETWEEN(DATE(2023,20,4), DATE(2025,12,31))</f>
        <v>45783</v>
      </c>
      <c r="E12">
        <f ca="1">RANDBETWEEN(40000,100000)</f>
        <v>55028</v>
      </c>
      <c r="F12">
        <f ca="1">RANDBETWEEN(60,90)</f>
        <v>89</v>
      </c>
      <c r="J12" s="4">
        <f ca="1"/>
        <v>1</v>
      </c>
      <c r="L12" s="4" t="str">
        <f t="shared" ca="1" si="0"/>
        <v>High</v>
      </c>
    </row>
    <row r="13" spans="1:15">
      <c r="A13" t="s">
        <v>66</v>
      </c>
      <c r="B13" t="s">
        <v>67</v>
      </c>
      <c r="C13" s="1" t="str">
        <f ca="1">CHOOSE(RANDBETWEEN(1,9),
"HR","Sales","Finance","Data Analyst","IT Support","Data Science","Accounting","Marketing","Customer")</f>
        <v>IT Support</v>
      </c>
      <c r="D13" s="2">
        <f ca="1">RANDBETWEEN(DATE(2023,20,4), DATE(2025,12,31))</f>
        <v>45987</v>
      </c>
      <c r="E13">
        <f ca="1">RANDBETWEEN(40000,100000)</f>
        <v>87859</v>
      </c>
      <c r="F13">
        <f ca="1">RANDBETWEEN(60,90)</f>
        <v>83</v>
      </c>
      <c r="J13" s="4">
        <f ca="1"/>
        <v>0</v>
      </c>
      <c r="L13" s="4" t="str">
        <f t="shared" ca="1" si="0"/>
        <v>Normal</v>
      </c>
    </row>
    <row r="14" spans="1:15">
      <c r="A14" t="s">
        <v>68</v>
      </c>
      <c r="B14" t="s">
        <v>69</v>
      </c>
      <c r="C14" s="1" t="str">
        <f ca="1">CHOOSE(RANDBETWEEN(1,9),
"HR","Sales","Finance","Data Analyst","IT Support","Data Science","Accounting","Marketing","Customer")</f>
        <v>Accounting</v>
      </c>
      <c r="D14" s="2">
        <f ca="1">RANDBETWEEN(DATE(2023,20,4), DATE(2025,12,31))</f>
        <v>45646</v>
      </c>
      <c r="E14">
        <f ca="1">RANDBETWEEN(40000,100000)</f>
        <v>92391</v>
      </c>
      <c r="F14">
        <f ca="1">RANDBETWEEN(60,90)</f>
        <v>89</v>
      </c>
      <c r="J14" s="4">
        <f ca="1"/>
        <v>0</v>
      </c>
      <c r="L14" s="4" t="str">
        <f t="shared" ca="1" si="0"/>
        <v>High</v>
      </c>
    </row>
    <row r="15" spans="1:15">
      <c r="A15" t="s">
        <v>70</v>
      </c>
      <c r="B15" t="s">
        <v>71</v>
      </c>
      <c r="C15" s="1" t="str">
        <f ca="1">CHOOSE(RANDBETWEEN(1,9),
"HR","Sales","Finance","Data Analyst","IT Support","Data Science","Accounting","Marketing","Customer")</f>
        <v>Customer</v>
      </c>
      <c r="D15" s="2">
        <f ca="1">RANDBETWEEN(DATE(2023,20,4), DATE(2025,12,31))</f>
        <v>45533</v>
      </c>
      <c r="E15">
        <f ca="1">RANDBETWEEN(40000,100000)</f>
        <v>93180</v>
      </c>
      <c r="F15">
        <f ca="1">RANDBETWEEN(60,90)</f>
        <v>60</v>
      </c>
      <c r="J15" s="4">
        <f ca="1"/>
        <v>0</v>
      </c>
      <c r="L15" s="4" t="str">
        <f t="shared" ca="1" si="0"/>
        <v>High</v>
      </c>
    </row>
    <row r="16" spans="1:15">
      <c r="A16" t="s">
        <v>72</v>
      </c>
      <c r="B16" t="s">
        <v>73</v>
      </c>
      <c r="C16" s="1" t="str">
        <f ca="1">CHOOSE(RANDBETWEEN(1,9),
"HR","Sales","Finance","Data Analyst","IT Support","Data Science","Accounting","Marketing","Customer")</f>
        <v>IT Support</v>
      </c>
      <c r="D16" s="2">
        <f ca="1">RANDBETWEEN(DATE(2023,20,4), DATE(2025,12,31))</f>
        <v>45711</v>
      </c>
      <c r="E16">
        <f ca="1">RANDBETWEEN(40000,100000)</f>
        <v>89009</v>
      </c>
      <c r="F16">
        <f ca="1">RANDBETWEEN(60,90)</f>
        <v>86</v>
      </c>
      <c r="J16" s="4" t="e">
        <f ca="1"/>
        <v>#NUM!</v>
      </c>
      <c r="L16" s="4" t="str">
        <f t="shared" ca="1" si="0"/>
        <v>High</v>
      </c>
    </row>
    <row r="17" spans="1:12">
      <c r="A17" t="s">
        <v>74</v>
      </c>
      <c r="B17" t="s">
        <v>75</v>
      </c>
      <c r="C17" s="1" t="str">
        <f ca="1">CHOOSE(RANDBETWEEN(1,9),
"HR","Sales","Finance","Data Analyst","IT Support","Data Science","Accounting","Marketing","Customer")</f>
        <v>Data Analyst</v>
      </c>
      <c r="D17" s="2">
        <f ca="1">RANDBETWEEN(DATE(2023,20,4), DATE(2025,12,31))</f>
        <v>45526</v>
      </c>
      <c r="E17">
        <f ca="1">RANDBETWEEN(40000,100000)</f>
        <v>64807</v>
      </c>
      <c r="F17">
        <f ca="1">RANDBETWEEN(60,90)</f>
        <v>76</v>
      </c>
      <c r="J17" s="4">
        <f ca="1"/>
        <v>0</v>
      </c>
      <c r="L17" s="4" t="str">
        <f t="shared" ca="1" si="0"/>
        <v>Normal</v>
      </c>
    </row>
    <row r="18" spans="1:12">
      <c r="A18" t="s">
        <v>76</v>
      </c>
      <c r="B18" t="s">
        <v>77</v>
      </c>
      <c r="C18" s="1" t="str">
        <f ca="1">CHOOSE(RANDBETWEEN(1,9),
"HR","Sales","Finance","Data Analyst","IT Support","Data Science","Accounting","Marketing","Customer")</f>
        <v>Sales</v>
      </c>
      <c r="D18" s="2">
        <f ca="1">RANDBETWEEN(DATE(2023,20,4), DATE(2025,12,31))</f>
        <v>45816</v>
      </c>
      <c r="E18">
        <f ca="1">RANDBETWEEN(40000,100000)</f>
        <v>56894</v>
      </c>
      <c r="F18">
        <f ca="1">RANDBETWEEN(60,90)</f>
        <v>75</v>
      </c>
      <c r="J18" s="4">
        <f ca="1"/>
        <v>0</v>
      </c>
      <c r="L18" s="4" t="str">
        <f t="shared" ca="1" si="0"/>
        <v>High</v>
      </c>
    </row>
    <row r="19" spans="1:12">
      <c r="A19" t="s">
        <v>78</v>
      </c>
      <c r="B19" t="s">
        <v>79</v>
      </c>
      <c r="C19" s="1" t="str">
        <f ca="1">CHOOSE(RANDBETWEEN(1,9),
"HR","Sales","Finance","Data Analyst","IT Support","Data Science","Accounting","Marketing","Customer")</f>
        <v>Data Analyst</v>
      </c>
      <c r="D19" s="2">
        <f ca="1">RANDBETWEEN(DATE(2023,20,4), DATE(2025,12,31))</f>
        <v>45841</v>
      </c>
      <c r="E19">
        <f ca="1">RANDBETWEEN(40000,100000)</f>
        <v>90951</v>
      </c>
      <c r="F19">
        <f ca="1">RANDBETWEEN(60,90)</f>
        <v>83</v>
      </c>
      <c r="J19" s="4">
        <f ca="1"/>
        <v>0</v>
      </c>
      <c r="L19" s="4" t="str">
        <f t="shared" ca="1" si="0"/>
        <v>High</v>
      </c>
    </row>
    <row r="20" spans="1:12">
      <c r="A20" t="s">
        <v>80</v>
      </c>
      <c r="B20" t="s">
        <v>81</v>
      </c>
      <c r="C20" s="1" t="str">
        <f ca="1">CHOOSE(RANDBETWEEN(1,9),
"HR","Sales","Finance","Data Analyst","IT Support","Data Science","Accounting","Marketing","Customer")</f>
        <v>HR</v>
      </c>
      <c r="D20" s="2">
        <f ca="1">RANDBETWEEN(DATE(2023,20,4), DATE(2025,12,31))</f>
        <v>45754</v>
      </c>
      <c r="E20">
        <f ca="1">RANDBETWEEN(40000,100000)</f>
        <v>41847</v>
      </c>
      <c r="F20">
        <f ca="1">RANDBETWEEN(60,90)</f>
        <v>78</v>
      </c>
      <c r="J20" s="4">
        <f ca="1"/>
        <v>0</v>
      </c>
      <c r="L20" s="4" t="str">
        <f t="shared" ca="1" si="0"/>
        <v>High</v>
      </c>
    </row>
    <row r="21" spans="1:12">
      <c r="A21" t="s">
        <v>82</v>
      </c>
      <c r="B21" t="s">
        <v>83</v>
      </c>
      <c r="C21" s="1" t="str">
        <f ca="1">CHOOSE(RANDBETWEEN(1,9),
"HR","Sales","Finance","Data Analyst","IT Support","Data Science","Accounting","Marketing","Customer")</f>
        <v>Data Analyst</v>
      </c>
      <c r="D21" s="2">
        <f ca="1">RANDBETWEEN(DATE(2023,20,4), DATE(2025,12,31))</f>
        <v>45854</v>
      </c>
      <c r="E21">
        <f ca="1">RANDBETWEEN(40000,100000)</f>
        <v>40705</v>
      </c>
      <c r="F21">
        <f ca="1">RANDBETWEEN(60,90)</f>
        <v>86</v>
      </c>
      <c r="J21" s="4">
        <f ca="1"/>
        <v>1</v>
      </c>
      <c r="L21" s="4" t="str">
        <f t="shared" ca="1" si="0"/>
        <v>High</v>
      </c>
    </row>
    <row r="22" spans="1:12">
      <c r="A22" t="s">
        <v>84</v>
      </c>
      <c r="B22" t="s">
        <v>85</v>
      </c>
      <c r="C22" s="1" t="str">
        <f ca="1">CHOOSE(RANDBETWEEN(1,9),
"HR","Sales","Finance","Data Analyst","IT Support","Data Science","Accounting","Marketing","Customer")</f>
        <v>Finance</v>
      </c>
      <c r="D22" s="2">
        <f ca="1">RANDBETWEEN(DATE(2023,20,4), DATE(2025,12,31))</f>
        <v>45564</v>
      </c>
      <c r="E22">
        <f ca="1">RANDBETWEEN(40000,100000)</f>
        <v>86330</v>
      </c>
      <c r="F22">
        <f ca="1">RANDBETWEEN(60,90)</f>
        <v>66</v>
      </c>
      <c r="J22" s="4">
        <f ca="1"/>
        <v>0</v>
      </c>
      <c r="L22" s="4" t="str">
        <f t="shared" ca="1" si="0"/>
        <v>High</v>
      </c>
    </row>
    <row r="23" spans="1:12">
      <c r="A23" t="s">
        <v>86</v>
      </c>
      <c r="B23" t="s">
        <v>87</v>
      </c>
      <c r="C23" s="1" t="str">
        <f ca="1">CHOOSE(RANDBETWEEN(1,9),
"HR","Sales","Finance","Data Analyst","IT Support","Data Science","Accounting","Marketing","Customer")</f>
        <v>Customer</v>
      </c>
      <c r="D23" s="2">
        <f ca="1">RANDBETWEEN(DATE(2023,20,4), DATE(2025,12,31))</f>
        <v>45800</v>
      </c>
      <c r="E23">
        <f ca="1">RANDBETWEEN(40000,100000)</f>
        <v>73085</v>
      </c>
      <c r="F23">
        <f ca="1">RANDBETWEEN(60,90)</f>
        <v>64</v>
      </c>
      <c r="J23" s="4">
        <f ca="1"/>
        <v>1</v>
      </c>
      <c r="L23" s="4" t="str">
        <f t="shared" ca="1" si="0"/>
        <v>High</v>
      </c>
    </row>
    <row r="24" spans="1:12">
      <c r="A24" t="s">
        <v>88</v>
      </c>
      <c r="B24" t="s">
        <v>89</v>
      </c>
      <c r="C24" s="1" t="str">
        <f ca="1">CHOOSE(RANDBETWEEN(1,9),
"HR","Sales","Finance","Data Analyst","IT Support","Data Science","Accounting","Marketing","Customer")</f>
        <v>Finance</v>
      </c>
      <c r="D24" s="2">
        <f ca="1">RANDBETWEEN(DATE(2023,20,4), DATE(2025,12,31))</f>
        <v>45754</v>
      </c>
      <c r="E24">
        <f ca="1">RANDBETWEEN(40000,100000)</f>
        <v>42798</v>
      </c>
      <c r="F24">
        <f ca="1">RANDBETWEEN(60,90)</f>
        <v>87</v>
      </c>
      <c r="J24" s="4">
        <f ca="1"/>
        <v>0</v>
      </c>
      <c r="L24" s="4" t="str">
        <f t="shared" ca="1" si="0"/>
        <v>High</v>
      </c>
    </row>
    <row r="25" spans="1:12">
      <c r="A25" t="s">
        <v>90</v>
      </c>
      <c r="B25" t="s">
        <v>91</v>
      </c>
      <c r="C25" s="1" t="str">
        <f ca="1">CHOOSE(RANDBETWEEN(1,9),
"HR","Sales","Finance","Data Analyst","IT Support","Data Science","Accounting","Marketing","Customer")</f>
        <v>Data Analyst</v>
      </c>
      <c r="D25" s="2">
        <f ca="1">RANDBETWEEN(DATE(2023,20,4), DATE(2025,12,31))</f>
        <v>45521</v>
      </c>
      <c r="E25">
        <f ca="1">RANDBETWEEN(40000,100000)</f>
        <v>80591</v>
      </c>
      <c r="F25">
        <f ca="1">RANDBETWEEN(60,90)</f>
        <v>90</v>
      </c>
      <c r="J25" s="4">
        <f ca="1"/>
        <v>0</v>
      </c>
      <c r="L25" s="4" t="str">
        <f t="shared" ca="1" si="0"/>
        <v>High</v>
      </c>
    </row>
    <row r="26" spans="1:12">
      <c r="A26" t="s">
        <v>92</v>
      </c>
      <c r="B26" t="s">
        <v>93</v>
      </c>
      <c r="C26" s="1" t="str">
        <f ca="1">CHOOSE(RANDBETWEEN(1,9),
"HR","Sales","Finance","Data Analyst","IT Support","Data Science","Accounting","Marketing","Customer")</f>
        <v>HR</v>
      </c>
      <c r="D26" s="2">
        <f ca="1">RANDBETWEEN(DATE(2023,20,4), DATE(2025,12,31))</f>
        <v>45809</v>
      </c>
      <c r="E26">
        <f ca="1">RANDBETWEEN(40000,100000)</f>
        <v>90196</v>
      </c>
      <c r="F26">
        <f ca="1">RANDBETWEEN(60,90)</f>
        <v>74</v>
      </c>
      <c r="J26" s="4">
        <f ca="1"/>
        <v>0</v>
      </c>
      <c r="L26" s="4" t="str">
        <f t="shared" ca="1" si="0"/>
        <v>Normal</v>
      </c>
    </row>
    <row r="27" spans="1:12">
      <c r="A27" t="s">
        <v>94</v>
      </c>
      <c r="B27" t="s">
        <v>95</v>
      </c>
      <c r="C27" s="1" t="str">
        <f ca="1">CHOOSE(RANDBETWEEN(1,9),
"HR","Sales","Finance","Data Analyst","IT Support","Data Science","Accounting","Marketing","Customer")</f>
        <v>Finance</v>
      </c>
      <c r="D27" s="2">
        <f ca="1">RANDBETWEEN(DATE(2023,20,4), DATE(2025,12,31))</f>
        <v>45880</v>
      </c>
      <c r="E27">
        <f ca="1">RANDBETWEEN(40000,100000)</f>
        <v>48779</v>
      </c>
      <c r="F27">
        <f ca="1">RANDBETWEEN(60,90)</f>
        <v>88</v>
      </c>
      <c r="J27" s="4">
        <f ca="1"/>
        <v>0</v>
      </c>
      <c r="L27" s="4" t="str">
        <f t="shared" ca="1" si="0"/>
        <v>Normal</v>
      </c>
    </row>
    <row r="28" spans="1:12">
      <c r="A28" t="s">
        <v>96</v>
      </c>
      <c r="B28" t="s">
        <v>97</v>
      </c>
      <c r="C28" s="1" t="str">
        <f ca="1">CHOOSE(RANDBETWEEN(1,9),
"HR","Sales","Finance","Data Analyst","IT Support","Data Science","Accounting","Marketing","Customer")</f>
        <v>Data Science</v>
      </c>
      <c r="D28" s="2">
        <f ca="1">RANDBETWEEN(DATE(2023,20,4), DATE(2025,12,31))</f>
        <v>45554</v>
      </c>
      <c r="E28">
        <f ca="1">RANDBETWEEN(40000,100000)</f>
        <v>61653</v>
      </c>
      <c r="F28">
        <f ca="1">RANDBETWEEN(60,90)</f>
        <v>62</v>
      </c>
      <c r="J28" s="4">
        <f ca="1"/>
        <v>1</v>
      </c>
      <c r="L28" s="4" t="str">
        <f t="shared" ca="1" si="0"/>
        <v>High</v>
      </c>
    </row>
    <row r="29" spans="1:12">
      <c r="A29" t="s">
        <v>98</v>
      </c>
      <c r="B29" t="s">
        <v>99</v>
      </c>
      <c r="C29" s="1" t="str">
        <f ca="1">CHOOSE(RANDBETWEEN(1,9),
"HR","Sales","Finance","Data Analyst","IT Support","Data Science","Accounting","Marketing","Customer")</f>
        <v>Data Analyst</v>
      </c>
      <c r="D29" s="2">
        <f ca="1">RANDBETWEEN(DATE(2023,20,4), DATE(2025,12,31))</f>
        <v>45780</v>
      </c>
      <c r="E29">
        <f ca="1">RANDBETWEEN(40000,100000)</f>
        <v>92935</v>
      </c>
      <c r="F29">
        <f ca="1">RANDBETWEEN(60,90)</f>
        <v>83</v>
      </c>
      <c r="J29" s="4">
        <f ca="1"/>
        <v>0</v>
      </c>
      <c r="L29" s="4" t="str">
        <f t="shared" ca="1" si="0"/>
        <v>High</v>
      </c>
    </row>
    <row r="30" spans="1:12">
      <c r="A30" t="s">
        <v>100</v>
      </c>
      <c r="B30" t="s">
        <v>101</v>
      </c>
      <c r="C30" s="1" t="str">
        <f ca="1">CHOOSE(RANDBETWEEN(1,9),
"HR","Sales","Finance","Data Analyst","IT Support","Data Science","Accounting","Marketing","Customer")</f>
        <v>Accounting</v>
      </c>
      <c r="D30" s="2">
        <f ca="1">RANDBETWEEN(DATE(2023,20,4), DATE(2025,12,31))</f>
        <v>45849</v>
      </c>
      <c r="E30">
        <f ca="1">RANDBETWEEN(40000,100000)</f>
        <v>88906</v>
      </c>
      <c r="F30">
        <f ca="1">RANDBETWEEN(60,90)</f>
        <v>88</v>
      </c>
      <c r="J30" s="4">
        <f ca="1"/>
        <v>0</v>
      </c>
      <c r="L30" s="4" t="str">
        <f t="shared" ca="1" si="0"/>
        <v>Normal</v>
      </c>
    </row>
    <row r="31" spans="1:12">
      <c r="A31" t="s">
        <v>102</v>
      </c>
      <c r="B31" t="s">
        <v>103</v>
      </c>
      <c r="C31" s="1" t="str">
        <f ca="1">CHOOSE(RANDBETWEEN(1,9),
"HR","Sales","Finance","Data Analyst","IT Support","Data Science","Accounting","Marketing","Customer")</f>
        <v>Marketing</v>
      </c>
      <c r="D31" s="2">
        <f ca="1">RANDBETWEEN(DATE(2023,20,4), DATE(2025,12,31))</f>
        <v>45604</v>
      </c>
      <c r="E31">
        <f ca="1">RANDBETWEEN(40000,100000)</f>
        <v>93781</v>
      </c>
      <c r="F31">
        <f ca="1">RANDBETWEEN(60,90)</f>
        <v>61</v>
      </c>
      <c r="J31" s="4">
        <f ca="1"/>
        <v>1</v>
      </c>
      <c r="L31" s="4" t="str">
        <f t="shared" ca="1" si="0"/>
        <v>High</v>
      </c>
    </row>
    <row r="32" spans="1:12">
      <c r="A32" t="s">
        <v>104</v>
      </c>
      <c r="B32" t="s">
        <v>105</v>
      </c>
      <c r="C32" s="1" t="str">
        <f ca="1">CHOOSE(RANDBETWEEN(1,9),
"HR","Sales","Finance","Data Analyst","IT Support","Data Science","Accounting","Marketing","Customer")</f>
        <v>HR</v>
      </c>
      <c r="D32" s="2">
        <f ca="1">RANDBETWEEN(DATE(2023,20,4), DATE(2025,12,31))</f>
        <v>45648</v>
      </c>
      <c r="E32">
        <f ca="1">RANDBETWEEN(40000,100000)</f>
        <v>65085</v>
      </c>
      <c r="F32">
        <f ca="1">RANDBETWEEN(60,90)</f>
        <v>77</v>
      </c>
      <c r="J32" s="4">
        <f ca="1"/>
        <v>0</v>
      </c>
      <c r="L32" s="4" t="str">
        <f t="shared" ca="1" si="0"/>
        <v>High</v>
      </c>
    </row>
    <row r="33" spans="1:12">
      <c r="A33" t="s">
        <v>106</v>
      </c>
      <c r="B33" t="s">
        <v>107</v>
      </c>
      <c r="C33" s="1" t="str">
        <f ca="1">CHOOSE(RANDBETWEEN(1,9),
"HR","Sales","Finance","Data Analyst","IT Support","Data Science","Accounting","Marketing","Customer")</f>
        <v>IT Support</v>
      </c>
      <c r="D33" s="2">
        <f ca="1">RANDBETWEEN(DATE(2023,20,4), DATE(2025,12,31))</f>
        <v>45547</v>
      </c>
      <c r="E33">
        <f ca="1">RANDBETWEEN(40000,100000)</f>
        <v>95822</v>
      </c>
      <c r="F33">
        <f ca="1">RANDBETWEEN(60,90)</f>
        <v>64</v>
      </c>
      <c r="J33" s="4">
        <f ca="1"/>
        <v>0</v>
      </c>
      <c r="L33" s="4" t="str">
        <f t="shared" ca="1" si="0"/>
        <v>Normal</v>
      </c>
    </row>
    <row r="34" spans="1:12">
      <c r="A34" t="s">
        <v>108</v>
      </c>
      <c r="B34" t="s">
        <v>109</v>
      </c>
      <c r="C34" s="1" t="str">
        <f ca="1">CHOOSE(RANDBETWEEN(1,9),
"HR","Sales","Finance","Data Analyst","IT Support","Data Science","Accounting","Marketing","Customer")</f>
        <v>Finance</v>
      </c>
      <c r="D34" s="2">
        <f ca="1">RANDBETWEEN(DATE(2023,20,4), DATE(2025,12,31))</f>
        <v>45739</v>
      </c>
      <c r="E34">
        <f ca="1">RANDBETWEEN(40000,100000)</f>
        <v>68934</v>
      </c>
      <c r="F34">
        <f ca="1">RANDBETWEEN(60,90)</f>
        <v>75</v>
      </c>
      <c r="J34" s="4">
        <f ca="1"/>
        <v>1</v>
      </c>
      <c r="L34" s="4" t="str">
        <f t="shared" ca="1" si="0"/>
        <v>High</v>
      </c>
    </row>
    <row r="35" spans="1:12">
      <c r="A35" t="s">
        <v>110</v>
      </c>
      <c r="B35" t="s">
        <v>111</v>
      </c>
      <c r="C35" s="1" t="str">
        <f ca="1">CHOOSE(RANDBETWEEN(1,9),
"HR","Sales","Finance","Data Analyst","IT Support","Data Science","Accounting","Marketing","Customer")</f>
        <v>Data Science</v>
      </c>
      <c r="D35" s="2">
        <f ca="1">RANDBETWEEN(DATE(2023,20,4), DATE(2025,12,31))</f>
        <v>45628</v>
      </c>
      <c r="E35">
        <f ca="1">RANDBETWEEN(40000,100000)</f>
        <v>56811</v>
      </c>
      <c r="F35">
        <f ca="1">RANDBETWEEN(60,90)</f>
        <v>64</v>
      </c>
      <c r="J35" s="4">
        <f ca="1"/>
        <v>0</v>
      </c>
      <c r="L35" s="4" t="str">
        <f t="shared" ca="1" si="0"/>
        <v>High</v>
      </c>
    </row>
    <row r="36" spans="1:12">
      <c r="A36" t="s">
        <v>112</v>
      </c>
      <c r="B36" t="s">
        <v>113</v>
      </c>
      <c r="C36" s="1" t="str">
        <f ca="1">CHOOSE(RANDBETWEEN(1,9),
"HR","Sales","Finance","Data Analyst","IT Support","Data Science","Accounting","Marketing","Customer")</f>
        <v>Marketing</v>
      </c>
      <c r="D36" s="2">
        <f ca="1">RANDBETWEEN(DATE(2023,20,4), DATE(2025,12,31))</f>
        <v>45555</v>
      </c>
      <c r="E36">
        <f ca="1">RANDBETWEEN(40000,100000)</f>
        <v>56264</v>
      </c>
      <c r="F36">
        <f ca="1">RANDBETWEEN(60,90)</f>
        <v>72</v>
      </c>
      <c r="J36" s="4">
        <f ca="1"/>
        <v>0</v>
      </c>
      <c r="L36" s="4" t="str">
        <f t="shared" ca="1" si="0"/>
        <v>High</v>
      </c>
    </row>
    <row r="37" spans="1:12">
      <c r="A37" t="s">
        <v>114</v>
      </c>
      <c r="B37" t="s">
        <v>115</v>
      </c>
      <c r="C37" s="1" t="str">
        <f ca="1">CHOOSE(RANDBETWEEN(1,9),
"HR","Sales","Finance","Data Analyst","IT Support","Data Science","Accounting","Marketing","Customer")</f>
        <v>Data Analyst</v>
      </c>
      <c r="D37" s="2">
        <f ca="1">RANDBETWEEN(DATE(2023,20,4), DATE(2025,12,31))</f>
        <v>46010</v>
      </c>
      <c r="E37">
        <f ca="1">RANDBETWEEN(40000,100000)</f>
        <v>65204</v>
      </c>
      <c r="F37">
        <f ca="1">RANDBETWEEN(60,90)</f>
        <v>74</v>
      </c>
      <c r="J37" s="4">
        <f ca="1"/>
        <v>1</v>
      </c>
      <c r="L37" s="4" t="str">
        <f t="shared" ca="1" si="0"/>
        <v>High</v>
      </c>
    </row>
    <row r="38" spans="1:12">
      <c r="A38" t="s">
        <v>116</v>
      </c>
      <c r="B38" t="s">
        <v>117</v>
      </c>
      <c r="C38" s="1" t="str">
        <f ca="1">CHOOSE(RANDBETWEEN(1,9),
"HR","Sales","Finance","Data Analyst","IT Support","Data Science","Accounting","Marketing","Customer")</f>
        <v>HR</v>
      </c>
      <c r="D38" s="2">
        <f ca="1">RANDBETWEEN(DATE(2023,20,4), DATE(2025,12,31))</f>
        <v>45591</v>
      </c>
      <c r="E38">
        <f ca="1">RANDBETWEEN(40000,100000)</f>
        <v>99594</v>
      </c>
      <c r="F38">
        <f ca="1">RANDBETWEEN(60,90)</f>
        <v>65</v>
      </c>
      <c r="J38" s="4">
        <f ca="1"/>
        <v>0</v>
      </c>
      <c r="L38" s="4" t="str">
        <f t="shared" ca="1" si="0"/>
        <v>High</v>
      </c>
    </row>
    <row r="39" spans="1:12">
      <c r="A39" t="s">
        <v>118</v>
      </c>
      <c r="B39" t="s">
        <v>119</v>
      </c>
      <c r="C39" s="1" t="str">
        <f ca="1">CHOOSE(RANDBETWEEN(1,9),
"HR","Sales","Finance","Data Analyst","IT Support","Data Science","Accounting","Marketing","Customer")</f>
        <v>Customer</v>
      </c>
      <c r="D39" s="2">
        <f ca="1">RANDBETWEEN(DATE(2023,20,4), DATE(2025,12,31))</f>
        <v>45828</v>
      </c>
      <c r="E39">
        <f ca="1">RANDBETWEEN(40000,100000)</f>
        <v>50024</v>
      </c>
      <c r="F39">
        <f ca="1">RANDBETWEEN(60,90)</f>
        <v>81</v>
      </c>
      <c r="J39" s="4">
        <f ca="1"/>
        <v>1</v>
      </c>
      <c r="L39" s="4" t="str">
        <f t="shared" ca="1" si="0"/>
        <v>High</v>
      </c>
    </row>
    <row r="40" spans="1:12">
      <c r="A40" t="s">
        <v>120</v>
      </c>
      <c r="B40" t="s">
        <v>121</v>
      </c>
      <c r="C40" s="1" t="str">
        <f ca="1">CHOOSE(RANDBETWEEN(1,9),
"HR","Sales","Finance","Data Analyst","IT Support","Data Science","Accounting","Marketing","Customer")</f>
        <v>Finance</v>
      </c>
      <c r="D40" s="2">
        <f ca="1">RANDBETWEEN(DATE(2023,20,4), DATE(2025,12,31))</f>
        <v>45941</v>
      </c>
      <c r="E40">
        <f ca="1">RANDBETWEEN(40000,100000)</f>
        <v>69165</v>
      </c>
      <c r="F40">
        <f ca="1">RANDBETWEEN(60,90)</f>
        <v>83</v>
      </c>
      <c r="J40" s="4">
        <f ca="1"/>
        <v>0</v>
      </c>
      <c r="L40" s="4" t="str">
        <f t="shared" ca="1" si="0"/>
        <v>High</v>
      </c>
    </row>
    <row r="41" spans="1:12">
      <c r="A41" t="s">
        <v>122</v>
      </c>
      <c r="B41" t="s">
        <v>123</v>
      </c>
      <c r="C41" s="1" t="str">
        <f ca="1">CHOOSE(RANDBETWEEN(1,9),
"HR","Sales","Finance","Data Analyst","IT Support","Data Science","Accounting","Marketing","Customer")</f>
        <v>Data Science</v>
      </c>
      <c r="D41" s="2">
        <f ca="1">RANDBETWEEN(DATE(2023,20,4), DATE(2025,12,31))</f>
        <v>45678</v>
      </c>
      <c r="E41">
        <f ca="1">RANDBETWEEN(40000,100000)</f>
        <v>94292</v>
      </c>
      <c r="F41">
        <f ca="1">RANDBETWEEN(60,90)</f>
        <v>68</v>
      </c>
      <c r="J41" s="4">
        <f ca="1"/>
        <v>0</v>
      </c>
      <c r="L41" s="4" t="str">
        <f t="shared" ca="1" si="0"/>
        <v>High</v>
      </c>
    </row>
    <row r="42" spans="1:12">
      <c r="A42" t="s">
        <v>124</v>
      </c>
      <c r="B42" t="s">
        <v>125</v>
      </c>
      <c r="C42" s="1" t="str">
        <f ca="1">CHOOSE(RANDBETWEEN(1,9),
"HR","Sales","Finance","Data Analyst","IT Support","Data Science","Accounting","Marketing","Customer")</f>
        <v>Data Science</v>
      </c>
      <c r="D42" s="2">
        <f ca="1">RANDBETWEEN(DATE(2023,20,4), DATE(2025,12,31))</f>
        <v>45791</v>
      </c>
      <c r="E42">
        <f ca="1">RANDBETWEEN(40000,100000)</f>
        <v>49660</v>
      </c>
      <c r="F42">
        <f ca="1">RANDBETWEEN(60,90)</f>
        <v>64</v>
      </c>
      <c r="J42" s="4">
        <f ca="1"/>
        <v>1</v>
      </c>
      <c r="L42" s="4" t="str">
        <f t="shared" ca="1" si="0"/>
        <v>High</v>
      </c>
    </row>
    <row r="43" spans="1:12">
      <c r="A43" t="s">
        <v>126</v>
      </c>
      <c r="B43" t="s">
        <v>127</v>
      </c>
      <c r="C43" s="1" t="str">
        <f ca="1">CHOOSE(RANDBETWEEN(1,9),
"HR","Sales","Finance","Data Analyst","IT Support","Data Science","Accounting","Marketing","Customer")</f>
        <v>Customer</v>
      </c>
      <c r="D43" s="2">
        <f ca="1">RANDBETWEEN(DATE(2023,20,4), DATE(2025,12,31))</f>
        <v>45896</v>
      </c>
      <c r="E43">
        <f ca="1">RANDBETWEEN(40000,100000)</f>
        <v>66855</v>
      </c>
      <c r="F43">
        <f ca="1">RANDBETWEEN(60,90)</f>
        <v>66</v>
      </c>
      <c r="J43" s="4" t="e">
        <f ca="1"/>
        <v>#NUM!</v>
      </c>
      <c r="L43" s="4" t="str">
        <f t="shared" ca="1" si="0"/>
        <v>High</v>
      </c>
    </row>
    <row r="44" spans="1:12">
      <c r="A44" t="s">
        <v>128</v>
      </c>
      <c r="B44" t="s">
        <v>129</v>
      </c>
      <c r="C44" s="1" t="str">
        <f ca="1">CHOOSE(RANDBETWEEN(1,9),
"HR","Sales","Finance","Data Analyst","IT Support","Data Science","Accounting","Marketing","Customer")</f>
        <v>Data Science</v>
      </c>
      <c r="D44" s="2">
        <f ca="1">RANDBETWEEN(DATE(2023,20,4), DATE(2025,12,31))</f>
        <v>45982</v>
      </c>
      <c r="E44">
        <f ca="1">RANDBETWEEN(40000,100000)</f>
        <v>76001</v>
      </c>
      <c r="F44">
        <f ca="1">RANDBETWEEN(60,90)</f>
        <v>60</v>
      </c>
      <c r="J44" s="4">
        <f ca="1"/>
        <v>1</v>
      </c>
      <c r="L44" s="4" t="str">
        <f t="shared" ca="1" si="0"/>
        <v>High</v>
      </c>
    </row>
    <row r="45" spans="1:12">
      <c r="A45" t="s">
        <v>130</v>
      </c>
      <c r="B45" t="s">
        <v>131</v>
      </c>
      <c r="C45" s="1" t="str">
        <f ca="1">CHOOSE(RANDBETWEEN(1,9),
"HR","Sales","Finance","Data Analyst","IT Support","Data Science","Accounting","Marketing","Customer")</f>
        <v>Finance</v>
      </c>
      <c r="D45" s="2">
        <f ca="1">RANDBETWEEN(DATE(2023,20,4), DATE(2025,12,31))</f>
        <v>45899</v>
      </c>
      <c r="E45">
        <f ca="1">RANDBETWEEN(40000,100000)</f>
        <v>90393</v>
      </c>
      <c r="F45">
        <f ca="1">RANDBETWEEN(60,90)</f>
        <v>67</v>
      </c>
      <c r="J45" s="4">
        <f ca="1"/>
        <v>0</v>
      </c>
      <c r="L45" s="4" t="str">
        <f t="shared" ca="1" si="0"/>
        <v>High</v>
      </c>
    </row>
    <row r="46" spans="1:12">
      <c r="A46" t="s">
        <v>132</v>
      </c>
      <c r="B46" t="s">
        <v>133</v>
      </c>
      <c r="C46" s="1" t="str">
        <f ca="1">CHOOSE(RANDBETWEEN(1,9),
"HR","Sales","Finance","Data Analyst","IT Support","Data Science","Accounting","Marketing","Customer")</f>
        <v>Data Science</v>
      </c>
      <c r="D46" s="2">
        <f ca="1">RANDBETWEEN(DATE(2023,20,4), DATE(2025,12,31))</f>
        <v>45978</v>
      </c>
      <c r="E46">
        <f ca="1">RANDBETWEEN(40000,100000)</f>
        <v>86390</v>
      </c>
      <c r="F46">
        <f ca="1">RANDBETWEEN(60,90)</f>
        <v>68</v>
      </c>
      <c r="J46" s="4">
        <f ca="1"/>
        <v>0</v>
      </c>
      <c r="L46" s="4" t="str">
        <f t="shared" ca="1" si="0"/>
        <v>High</v>
      </c>
    </row>
    <row r="47" spans="1:12">
      <c r="A47" t="s">
        <v>134</v>
      </c>
      <c r="B47" t="s">
        <v>135</v>
      </c>
      <c r="C47" s="1" t="str">
        <f ca="1">CHOOSE(RANDBETWEEN(1,9),
"HR","Sales","Finance","Data Analyst","IT Support","Data Science","Accounting","Marketing","Customer")</f>
        <v>Customer</v>
      </c>
      <c r="D47" s="2">
        <f ca="1">RANDBETWEEN(DATE(2023,20,4), DATE(2025,12,31))</f>
        <v>45918</v>
      </c>
      <c r="E47">
        <f ca="1">RANDBETWEEN(40000,100000)</f>
        <v>83398</v>
      </c>
      <c r="F47">
        <f ca="1">RANDBETWEEN(60,90)</f>
        <v>82</v>
      </c>
      <c r="J47" s="4">
        <f ca="1"/>
        <v>0</v>
      </c>
      <c r="L47" s="4" t="str">
        <f t="shared" ca="1" si="0"/>
        <v>High</v>
      </c>
    </row>
    <row r="48" spans="1:12">
      <c r="A48" t="s">
        <v>136</v>
      </c>
      <c r="B48" t="s">
        <v>137</v>
      </c>
      <c r="C48" s="1" t="str">
        <f ca="1">CHOOSE(RANDBETWEEN(1,9),
"HR","Sales","Finance","Data Analyst","IT Support","Data Science","Accounting","Marketing","Customer")</f>
        <v>HR</v>
      </c>
      <c r="D48" s="2">
        <f ca="1">RANDBETWEEN(DATE(2023,20,4), DATE(2025,12,31))</f>
        <v>45605</v>
      </c>
      <c r="E48">
        <f ca="1">RANDBETWEEN(40000,100000)</f>
        <v>94271</v>
      </c>
      <c r="F48">
        <f ca="1">RANDBETWEEN(60,90)</f>
        <v>72</v>
      </c>
      <c r="J48" s="4">
        <f ca="1"/>
        <v>0</v>
      </c>
      <c r="L48" s="4" t="str">
        <f t="shared" ca="1" si="0"/>
        <v>Normal</v>
      </c>
    </row>
    <row r="49" spans="1:12">
      <c r="A49" t="s">
        <v>138</v>
      </c>
      <c r="B49" t="s">
        <v>139</v>
      </c>
      <c r="C49" s="1" t="str">
        <f ca="1">CHOOSE(RANDBETWEEN(1,9),
"HR","Sales","Finance","Data Analyst","IT Support","Data Science","Accounting","Marketing","Customer")</f>
        <v>Accounting</v>
      </c>
      <c r="D49" s="2">
        <f ca="1">RANDBETWEEN(DATE(2023,20,4), DATE(2025,12,31))</f>
        <v>46018</v>
      </c>
      <c r="E49">
        <f ca="1">RANDBETWEEN(40000,100000)</f>
        <v>63126</v>
      </c>
      <c r="F49">
        <f ca="1">RANDBETWEEN(60,90)</f>
        <v>67</v>
      </c>
      <c r="J49" s="4">
        <f ca="1"/>
        <v>0</v>
      </c>
      <c r="L49" s="4" t="str">
        <f t="shared" ca="1" si="0"/>
        <v>High</v>
      </c>
    </row>
    <row r="50" spans="1:12">
      <c r="A50" t="s">
        <v>140</v>
      </c>
      <c r="B50" t="s">
        <v>141</v>
      </c>
      <c r="C50" s="1" t="str">
        <f ca="1">CHOOSE(RANDBETWEEN(1,9),
"HR","Sales","Finance","Data Analyst","IT Support","Data Science","Accounting","Marketing","Customer")</f>
        <v>Accounting</v>
      </c>
      <c r="D50" s="2">
        <f ca="1">RANDBETWEEN(DATE(2023,20,4), DATE(2025,12,31))</f>
        <v>46019</v>
      </c>
      <c r="E50">
        <f ca="1">RANDBETWEEN(40000,100000)</f>
        <v>85299</v>
      </c>
      <c r="F50">
        <f ca="1">RANDBETWEEN(60,90)</f>
        <v>74</v>
      </c>
      <c r="J50" s="4">
        <f ca="1"/>
        <v>0</v>
      </c>
      <c r="L50" s="4" t="str">
        <f t="shared" ca="1" si="0"/>
        <v>High</v>
      </c>
    </row>
    <row r="51" spans="1:12">
      <c r="A51" t="s">
        <v>142</v>
      </c>
      <c r="B51" t="s">
        <v>143</v>
      </c>
      <c r="C51" s="1" t="str">
        <f ca="1">CHOOSE(RANDBETWEEN(1,9),
"HR","Sales","Finance","Data Analyst","IT Support","Data Science","Accounting","Marketing","Customer")</f>
        <v>Marketing</v>
      </c>
      <c r="D51" s="2">
        <f ca="1">RANDBETWEEN(DATE(2023,20,4), DATE(2025,12,31))</f>
        <v>45804</v>
      </c>
      <c r="E51">
        <f ca="1">RANDBETWEEN(40000,100000)</f>
        <v>66111</v>
      </c>
      <c r="F51">
        <f ca="1">RANDBETWEEN(60,90)</f>
        <v>67</v>
      </c>
      <c r="J51" s="4">
        <f ca="1"/>
        <v>0</v>
      </c>
      <c r="L51" s="4" t="str">
        <f t="shared" ca="1" si="0"/>
        <v>High</v>
      </c>
    </row>
    <row r="52" spans="1:12">
      <c r="J52" s="4">
        <f ca="1"/>
        <v>0</v>
      </c>
      <c r="L52" s="4" t="str">
        <f t="shared" ca="1" si="0"/>
        <v>High</v>
      </c>
    </row>
    <row r="53" spans="1:12">
      <c r="J53" s="4">
        <f ca="1"/>
        <v>0</v>
      </c>
      <c r="L53" s="4" t="str">
        <f t="shared" ca="1" si="0"/>
        <v>High</v>
      </c>
    </row>
    <row r="54" spans="1:12">
      <c r="J54" s="4">
        <f ca="1"/>
        <v>1</v>
      </c>
      <c r="L54" s="4" t="str">
        <f t="shared" ca="1" si="0"/>
        <v>High</v>
      </c>
    </row>
    <row r="55" spans="1:12">
      <c r="J55" s="4" t="e">
        <f ca="1"/>
        <v>#NUM!</v>
      </c>
      <c r="L55" s="4" t="str">
        <f t="shared" ca="1" si="0"/>
        <v>High</v>
      </c>
    </row>
    <row r="56" spans="1:12">
      <c r="J56" s="4" t="e">
        <f ca="1"/>
        <v>#NUM!</v>
      </c>
      <c r="L56" s="4" t="str">
        <f t="shared" ca="1" si="0"/>
        <v>High</v>
      </c>
    </row>
    <row r="57" spans="1:12">
      <c r="J57" s="5">
        <f ca="1"/>
        <v>0</v>
      </c>
      <c r="L57" s="5" t="str">
        <f t="shared" ca="1" si="0"/>
        <v>High</v>
      </c>
    </row>
  </sheetData>
  <mergeCells count="1">
    <mergeCell ref="H1:O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F79D-47D8-4508-9D10-CECDB95175F1}">
  <dimension ref="A1:P51"/>
  <sheetViews>
    <sheetView workbookViewId="0">
      <selection activeCell="H14" sqref="H14"/>
    </sheetView>
  </sheetViews>
  <sheetFormatPr defaultRowHeight="15"/>
  <cols>
    <col min="1" max="1" width="12.85546875" bestFit="1" customWidth="1"/>
    <col min="2" max="2" width="16.5703125" customWidth="1"/>
    <col min="3" max="3" width="18.28515625" customWidth="1"/>
    <col min="4" max="4" width="15" customWidth="1"/>
    <col min="6" max="6" width="9.28515625" bestFit="1" customWidth="1"/>
    <col min="8" max="8" width="16.5703125" bestFit="1" customWidth="1"/>
    <col min="9" max="9" width="25.140625" bestFit="1" customWidth="1"/>
    <col min="10" max="10" width="13.140625" bestFit="1" customWidth="1"/>
    <col min="11" max="11" width="22.140625" bestFit="1" customWidth="1"/>
    <col min="12" max="12" width="12.140625" bestFit="1" customWidth="1"/>
    <col min="13" max="13" width="11.7109375" bestFit="1" customWidth="1"/>
    <col min="15" max="15" width="31.28515625" bestFit="1" customWidth="1"/>
    <col min="16" max="16" width="27.5703125" bestFit="1" customWidth="1"/>
  </cols>
  <sheetData>
    <row r="1" spans="1:16">
      <c r="A1" t="s">
        <v>144</v>
      </c>
      <c r="B1" t="s">
        <v>145</v>
      </c>
      <c r="C1" t="s">
        <v>146</v>
      </c>
      <c r="D1" t="s">
        <v>147</v>
      </c>
      <c r="H1" t="s">
        <v>148</v>
      </c>
      <c r="I1" t="s">
        <v>149</v>
      </c>
      <c r="J1" s="37" t="s">
        <v>150</v>
      </c>
      <c r="K1" s="38"/>
      <c r="L1" s="38"/>
      <c r="M1" s="39"/>
      <c r="O1" s="37" t="s">
        <v>151</v>
      </c>
      <c r="P1" s="39"/>
    </row>
    <row r="2" spans="1:16">
      <c r="A2" t="s">
        <v>152</v>
      </c>
      <c r="B2" t="str" cm="1">
        <f t="array" aca="1" ref="B2" ca="1">INDEX($H$2:$H$11, RANDBETWEEN(1,10))</f>
        <v>bluetooth speaker</v>
      </c>
      <c r="C2" t="str">
        <f ca="1">VLOOKUP(B2, $H$2:$I$11, 2, FALSE)</f>
        <v>electronics</v>
      </c>
      <c r="D2">
        <f ca="1">RANDBETWEEN(500,1000)</f>
        <v>590</v>
      </c>
      <c r="H2" t="s">
        <v>153</v>
      </c>
      <c r="I2" t="s">
        <v>154</v>
      </c>
      <c r="J2" s="7" t="s">
        <v>155</v>
      </c>
      <c r="K2" s="7" t="s">
        <v>156</v>
      </c>
      <c r="L2" s="7" t="s">
        <v>157</v>
      </c>
      <c r="M2" s="7" t="s">
        <v>158</v>
      </c>
      <c r="O2" s="7" t="s">
        <v>159</v>
      </c>
      <c r="P2" s="7" t="s">
        <v>160</v>
      </c>
    </row>
    <row r="3" spans="1:16">
      <c r="A3" t="s">
        <v>161</v>
      </c>
      <c r="B3" t="str" cm="1">
        <f t="array" aca="1" ref="B3" ca="1">INDEX($H$2:$H$11, RANDBETWEEN(1,10))</f>
        <v>tshirt</v>
      </c>
      <c r="C3" t="str">
        <f ca="1">VLOOKUP(B3, $H$2:$I$11, 2, FALSE)</f>
        <v>fashion</v>
      </c>
      <c r="D3">
        <f ca="1">RANDBETWEEN(500,1000)</f>
        <v>600</v>
      </c>
      <c r="H3" t="s">
        <v>162</v>
      </c>
      <c r="I3" t="s">
        <v>163</v>
      </c>
      <c r="J3" s="7">
        <f>COUNTA(A2:A51)</f>
        <v>50</v>
      </c>
      <c r="K3" s="7">
        <f ca="1">SUM(D2:D51)</f>
        <v>38240</v>
      </c>
      <c r="L3" s="7">
        <f ca="1">MAX(D2:D51)</f>
        <v>999</v>
      </c>
      <c r="M3" s="7">
        <f ca="1">MIN(D2:D51)</f>
        <v>510</v>
      </c>
      <c r="O3" s="7" t="str">
        <f ca="1">IF(D2&gt;1000,"Expensive","Affordable")</f>
        <v>Affordable</v>
      </c>
      <c r="P3" s="7">
        <f ca="1">COUNTIF(C2:C51,"Electronics")</f>
        <v>1</v>
      </c>
    </row>
    <row r="4" spans="1:16">
      <c r="A4" t="s">
        <v>164</v>
      </c>
      <c r="B4" t="str" cm="1">
        <f t="array" aca="1" ref="B4" ca="1">INDEX($H$2:$H$11, RANDBETWEEN(1,10))</f>
        <v>Refrigerator</v>
      </c>
      <c r="C4" t="str">
        <f ca="1">VLOOKUP(B4, $H$2:$I$11, 2, FALSE)</f>
        <v>Home applicance</v>
      </c>
      <c r="D4">
        <f ca="1">RANDBETWEEN(500,1000)</f>
        <v>951</v>
      </c>
      <c r="H4" t="s">
        <v>165</v>
      </c>
      <c r="I4" t="s">
        <v>166</v>
      </c>
    </row>
    <row r="5" spans="1:16">
      <c r="A5" t="s">
        <v>167</v>
      </c>
      <c r="B5" t="str" cm="1">
        <f t="array" aca="1" ref="B5" ca="1">INDEX($H$2:$H$11, RANDBETWEEN(1,10))</f>
        <v>rice bag</v>
      </c>
      <c r="C5" t="str">
        <f ca="1">VLOOKUP(B5, $H$2:$I$11, 2, FALSE)</f>
        <v>grocery</v>
      </c>
      <c r="D5">
        <f ca="1">RANDBETWEEN(500,1000)</f>
        <v>566</v>
      </c>
      <c r="H5" t="s">
        <v>168</v>
      </c>
      <c r="I5" t="s">
        <v>169</v>
      </c>
    </row>
    <row r="6" spans="1:16">
      <c r="A6" t="s">
        <v>170</v>
      </c>
      <c r="B6" t="str" cm="1">
        <f t="array" aca="1" ref="B6" ca="1">INDEX($H$2:$H$11, RANDBETWEEN(1,10))</f>
        <v>tshirt</v>
      </c>
      <c r="C6" t="str">
        <f ca="1">VLOOKUP(B6, $H$2:$I$11, 2, FALSE)</f>
        <v>fashion</v>
      </c>
      <c r="D6">
        <f ca="1">RANDBETWEEN(500,1000)</f>
        <v>692</v>
      </c>
      <c r="H6" t="s">
        <v>171</v>
      </c>
      <c r="I6" t="s">
        <v>172</v>
      </c>
    </row>
    <row r="7" spans="1:16">
      <c r="A7" t="s">
        <v>173</v>
      </c>
      <c r="B7" t="str" cm="1">
        <f t="array" aca="1" ref="B7" ca="1">INDEX($H$2:$H$11, RANDBETWEEN(1,10))</f>
        <v>shampoo</v>
      </c>
      <c r="C7" t="str">
        <f ca="1">VLOOKUP(B7, $H$2:$I$11, 2, FALSE)</f>
        <v>Beauty</v>
      </c>
      <c r="D7">
        <f ca="1">RANDBETWEEN(500,1000)</f>
        <v>781</v>
      </c>
      <c r="H7" t="s">
        <v>174</v>
      </c>
      <c r="I7" t="s">
        <v>175</v>
      </c>
    </row>
    <row r="8" spans="1:16">
      <c r="A8" t="s">
        <v>176</v>
      </c>
      <c r="B8" t="str" cm="1">
        <f t="array" aca="1" ref="B8" ca="1">INDEX($H$2:$H$11, RANDBETWEEN(1,10))</f>
        <v>shampoo</v>
      </c>
      <c r="C8" t="str">
        <f ca="1">VLOOKUP(B8, $H$2:$I$11, 2, FALSE)</f>
        <v>Beauty</v>
      </c>
      <c r="D8">
        <f ca="1">RANDBETWEEN(500,1000)</f>
        <v>759</v>
      </c>
      <c r="H8" t="s">
        <v>177</v>
      </c>
      <c r="I8" t="s">
        <v>178</v>
      </c>
    </row>
    <row r="9" spans="1:16">
      <c r="A9" t="s">
        <v>179</v>
      </c>
      <c r="B9" t="str" cm="1">
        <f t="array" aca="1" ref="B9" ca="1">INDEX($H$2:$H$11, RANDBETWEEN(1,10))</f>
        <v>vitamins</v>
      </c>
      <c r="C9" t="str">
        <f ca="1">VLOOKUP(B9, $H$2:$I$11, 2, FALSE)</f>
        <v>health</v>
      </c>
      <c r="D9">
        <f ca="1">RANDBETWEEN(500,1000)</f>
        <v>580</v>
      </c>
      <c r="H9" t="s">
        <v>180</v>
      </c>
      <c r="I9" t="s">
        <v>181</v>
      </c>
    </row>
    <row r="10" spans="1:16">
      <c r="A10" t="s">
        <v>182</v>
      </c>
      <c r="B10" t="str" cm="1">
        <f t="array" aca="1" ref="B10" ca="1">INDEX($H$2:$H$11, RANDBETWEEN(1,10))</f>
        <v>smart phone</v>
      </c>
      <c r="C10" t="str">
        <f ca="1">VLOOKUP(B10, $H$2:$I$11, 2, FALSE)</f>
        <v>mobile</v>
      </c>
      <c r="D10">
        <f ca="1">RANDBETWEEN(500,1000)</f>
        <v>573</v>
      </c>
      <c r="H10" t="s">
        <v>183</v>
      </c>
      <c r="I10" t="s">
        <v>184</v>
      </c>
    </row>
    <row r="11" spans="1:16">
      <c r="A11" t="s">
        <v>185</v>
      </c>
      <c r="B11" t="str" cm="1">
        <f t="array" aca="1" ref="B11" ca="1">INDEX($H$2:$H$11, RANDBETWEEN(1,10))</f>
        <v>notebook</v>
      </c>
      <c r="C11" t="str">
        <f ca="1">VLOOKUP(B11, $H$2:$I$11, 2, FALSE)</f>
        <v>stationary</v>
      </c>
      <c r="D11">
        <f ca="1">RANDBETWEEN(500,1000)</f>
        <v>961</v>
      </c>
      <c r="H11" t="s">
        <v>186</v>
      </c>
      <c r="I11" t="s">
        <v>187</v>
      </c>
    </row>
    <row r="12" spans="1:16">
      <c r="A12" t="s">
        <v>188</v>
      </c>
      <c r="B12" t="str" cm="1">
        <f t="array" aca="1" ref="B12" ca="1">INDEX($H$2:$H$11, RANDBETWEEN(1,10))</f>
        <v>smart phone</v>
      </c>
      <c r="C12" t="str">
        <f ca="1">VLOOKUP(B12, $H$2:$I$11, 2, FALSE)</f>
        <v>mobile</v>
      </c>
      <c r="D12">
        <f ca="1">RANDBETWEEN(500,1000)</f>
        <v>610</v>
      </c>
    </row>
    <row r="13" spans="1:16">
      <c r="A13" t="s">
        <v>189</v>
      </c>
      <c r="B13" t="str" cm="1">
        <f t="array" aca="1" ref="B13" ca="1">INDEX($H$2:$H$11, RANDBETWEEN(1,10))</f>
        <v xml:space="preserve">teddy bear </v>
      </c>
      <c r="C13" t="str">
        <f ca="1">VLOOKUP(B13, $H$2:$I$11, 2, FALSE)</f>
        <v>toys</v>
      </c>
      <c r="D13">
        <f ca="1">RANDBETWEEN(500,1000)</f>
        <v>796</v>
      </c>
    </row>
    <row r="14" spans="1:16">
      <c r="A14" t="s">
        <v>190</v>
      </c>
      <c r="B14" t="str" cm="1">
        <f t="array" aca="1" ref="B14" ca="1">INDEX($H$2:$H$11, RANDBETWEEN(1,10))</f>
        <v>shampoo</v>
      </c>
      <c r="C14" t="str">
        <f ca="1">VLOOKUP(B14, $H$2:$I$11, 2, FALSE)</f>
        <v>Beauty</v>
      </c>
      <c r="D14">
        <f ca="1">RANDBETWEEN(500,1000)</f>
        <v>777</v>
      </c>
    </row>
    <row r="15" spans="1:16">
      <c r="A15" t="s">
        <v>191</v>
      </c>
      <c r="B15" t="str" cm="1">
        <f t="array" aca="1" ref="B15" ca="1">INDEX($H$2:$H$11, RANDBETWEEN(1,10))</f>
        <v xml:space="preserve">teddy bear </v>
      </c>
      <c r="C15" t="str">
        <f ca="1">VLOOKUP(B15, $H$2:$I$11, 2, FALSE)</f>
        <v>toys</v>
      </c>
      <c r="D15">
        <f ca="1">RANDBETWEEN(500,1000)</f>
        <v>515</v>
      </c>
    </row>
    <row r="16" spans="1:16">
      <c r="A16" t="s">
        <v>192</v>
      </c>
      <c r="B16" t="str" cm="1">
        <f t="array" aca="1" ref="B16" ca="1">INDEX($H$2:$H$11, RANDBETWEEN(1,10))</f>
        <v>rice bag</v>
      </c>
      <c r="C16" t="str">
        <f ca="1">VLOOKUP(B16, $H$2:$I$11, 2, FALSE)</f>
        <v>grocery</v>
      </c>
      <c r="D16">
        <f ca="1">RANDBETWEEN(500,1000)</f>
        <v>985</v>
      </c>
    </row>
    <row r="17" spans="1:4">
      <c r="A17" t="s">
        <v>193</v>
      </c>
      <c r="B17" t="str" cm="1">
        <f t="array" aca="1" ref="B17" ca="1">INDEX($H$2:$H$11, RANDBETWEEN(1,10))</f>
        <v xml:space="preserve">teddy bear </v>
      </c>
      <c r="C17" t="str">
        <f ca="1">VLOOKUP(B17, $H$2:$I$11, 2, FALSE)</f>
        <v>toys</v>
      </c>
      <c r="D17">
        <f ca="1">RANDBETWEEN(500,1000)</f>
        <v>514</v>
      </c>
    </row>
    <row r="18" spans="1:4">
      <c r="A18" t="s">
        <v>194</v>
      </c>
      <c r="B18" t="str" cm="1">
        <f t="array" aca="1" ref="B18" ca="1">INDEX($H$2:$H$11, RANDBETWEEN(1,10))</f>
        <v xml:space="preserve">teddy bear </v>
      </c>
      <c r="C18" t="str">
        <f ca="1">VLOOKUP(B18, $H$2:$I$11, 2, FALSE)</f>
        <v>toys</v>
      </c>
      <c r="D18">
        <f ca="1">RANDBETWEEN(500,1000)</f>
        <v>734</v>
      </c>
    </row>
    <row r="19" spans="1:4">
      <c r="A19" t="s">
        <v>195</v>
      </c>
      <c r="B19" t="str" cm="1">
        <f t="array" aca="1" ref="B19" ca="1">INDEX($H$2:$H$11, RANDBETWEEN(1,10))</f>
        <v>Refrigerator</v>
      </c>
      <c r="C19" t="str">
        <f ca="1">VLOOKUP(B19, $H$2:$I$11, 2, FALSE)</f>
        <v>Home applicance</v>
      </c>
      <c r="D19">
        <f ca="1">RANDBETWEEN(500,1000)</f>
        <v>971</v>
      </c>
    </row>
    <row r="20" spans="1:4">
      <c r="A20" t="s">
        <v>196</v>
      </c>
      <c r="B20" t="str" cm="1">
        <f t="array" aca="1" ref="B20" ca="1">INDEX($H$2:$H$11, RANDBETWEEN(1,10))</f>
        <v xml:space="preserve">teddy bear </v>
      </c>
      <c r="C20" t="str">
        <f ca="1">VLOOKUP(B20, $H$2:$I$11, 2, FALSE)</f>
        <v>toys</v>
      </c>
      <c r="D20">
        <f ca="1">RANDBETWEEN(500,1000)</f>
        <v>988</v>
      </c>
    </row>
    <row r="21" spans="1:4">
      <c r="A21" t="s">
        <v>197</v>
      </c>
      <c r="B21" t="str" cm="1">
        <f t="array" aca="1" ref="B21" ca="1">INDEX($H$2:$H$11, RANDBETWEEN(1,10))</f>
        <v>Refrigerator</v>
      </c>
      <c r="C21" t="str">
        <f ca="1">VLOOKUP(B21, $H$2:$I$11, 2, FALSE)</f>
        <v>Home applicance</v>
      </c>
      <c r="D21">
        <f ca="1">RANDBETWEEN(500,1000)</f>
        <v>850</v>
      </c>
    </row>
    <row r="22" spans="1:4">
      <c r="A22" t="s">
        <v>198</v>
      </c>
      <c r="B22" t="str" cm="1">
        <f t="array" aca="1" ref="B22" ca="1">INDEX($H$2:$H$11, RANDBETWEEN(1,10))</f>
        <v>shampoo</v>
      </c>
      <c r="C22" t="str">
        <f ca="1">VLOOKUP(B22, $H$2:$I$11, 2, FALSE)</f>
        <v>Beauty</v>
      </c>
      <c r="D22">
        <f ca="1">RANDBETWEEN(500,1000)</f>
        <v>933</v>
      </c>
    </row>
    <row r="23" spans="1:4">
      <c r="A23" t="s">
        <v>199</v>
      </c>
      <c r="B23" t="str" cm="1">
        <f t="array" aca="1" ref="B23" ca="1">INDEX($H$2:$H$11, RANDBETWEEN(1,10))</f>
        <v>story book</v>
      </c>
      <c r="C23" t="str">
        <f ca="1">VLOOKUP(B23, $H$2:$I$11, 2, FALSE)</f>
        <v>book</v>
      </c>
      <c r="D23">
        <f ca="1">RANDBETWEEN(500,1000)</f>
        <v>881</v>
      </c>
    </row>
    <row r="24" spans="1:4">
      <c r="A24" t="s">
        <v>200</v>
      </c>
      <c r="B24" t="str" cm="1">
        <f t="array" aca="1" ref="B24" ca="1">INDEX($H$2:$H$11, RANDBETWEEN(1,10))</f>
        <v xml:space="preserve">teddy bear </v>
      </c>
      <c r="C24" t="str">
        <f ca="1">VLOOKUP(B24, $H$2:$I$11, 2, FALSE)</f>
        <v>toys</v>
      </c>
      <c r="D24">
        <f ca="1">RANDBETWEEN(500,1000)</f>
        <v>602</v>
      </c>
    </row>
    <row r="25" spans="1:4">
      <c r="A25" t="s">
        <v>201</v>
      </c>
      <c r="B25" t="str" cm="1">
        <f t="array" aca="1" ref="B25" ca="1">INDEX($H$2:$H$11, RANDBETWEEN(1,10))</f>
        <v>story book</v>
      </c>
      <c r="C25" t="str">
        <f ca="1">VLOOKUP(B25, $H$2:$I$11, 2, FALSE)</f>
        <v>book</v>
      </c>
      <c r="D25">
        <f ca="1">RANDBETWEEN(500,1000)</f>
        <v>947</v>
      </c>
    </row>
    <row r="26" spans="1:4">
      <c r="A26" t="s">
        <v>202</v>
      </c>
      <c r="B26" t="str" cm="1">
        <f t="array" aca="1" ref="B26" ca="1">INDEX($H$2:$H$11, RANDBETWEEN(1,10))</f>
        <v>story book</v>
      </c>
      <c r="C26" t="str">
        <f ca="1">VLOOKUP(B26, $H$2:$I$11, 2, FALSE)</f>
        <v>book</v>
      </c>
      <c r="D26">
        <f ca="1">RANDBETWEEN(500,1000)</f>
        <v>667</v>
      </c>
    </row>
    <row r="27" spans="1:4">
      <c r="A27" t="s">
        <v>203</v>
      </c>
      <c r="B27" t="str" cm="1">
        <f t="array" aca="1" ref="B27" ca="1">INDEX($H$2:$H$11, RANDBETWEEN(1,10))</f>
        <v>smart phone</v>
      </c>
      <c r="C27" t="str">
        <f ca="1">VLOOKUP(B27, $H$2:$I$11, 2, FALSE)</f>
        <v>mobile</v>
      </c>
      <c r="D27">
        <f ca="1">RANDBETWEEN(500,1000)</f>
        <v>651</v>
      </c>
    </row>
    <row r="28" spans="1:4">
      <c r="A28" t="s">
        <v>204</v>
      </c>
      <c r="B28" t="str" cm="1">
        <f t="array" aca="1" ref="B28" ca="1">INDEX($H$2:$H$11, RANDBETWEEN(1,10))</f>
        <v>vitamins</v>
      </c>
      <c r="C28" t="str">
        <f ca="1">VLOOKUP(B28, $H$2:$I$11, 2, FALSE)</f>
        <v>health</v>
      </c>
      <c r="D28">
        <f ca="1">RANDBETWEEN(500,1000)</f>
        <v>753</v>
      </c>
    </row>
    <row r="29" spans="1:4">
      <c r="A29" t="s">
        <v>205</v>
      </c>
      <c r="B29" t="str" cm="1">
        <f t="array" aca="1" ref="B29" ca="1">INDEX($H$2:$H$11, RANDBETWEEN(1,10))</f>
        <v>smart phone</v>
      </c>
      <c r="C29" t="str">
        <f ca="1">VLOOKUP(B29, $H$2:$I$11, 2, FALSE)</f>
        <v>mobile</v>
      </c>
      <c r="D29">
        <f ca="1">RANDBETWEEN(500,1000)</f>
        <v>996</v>
      </c>
    </row>
    <row r="30" spans="1:4">
      <c r="A30" t="s">
        <v>206</v>
      </c>
      <c r="B30" t="str" cm="1">
        <f t="array" aca="1" ref="B30" ca="1">INDEX($H$2:$H$11, RANDBETWEEN(1,10))</f>
        <v>shampoo</v>
      </c>
      <c r="C30" t="str">
        <f ca="1">VLOOKUP(B30, $H$2:$I$11, 2, FALSE)</f>
        <v>Beauty</v>
      </c>
      <c r="D30">
        <f ca="1">RANDBETWEEN(500,1000)</f>
        <v>510</v>
      </c>
    </row>
    <row r="31" spans="1:4">
      <c r="A31" t="s">
        <v>207</v>
      </c>
      <c r="B31" t="str" cm="1">
        <f t="array" aca="1" ref="B31" ca="1">INDEX($H$2:$H$11, RANDBETWEEN(1,10))</f>
        <v>shampoo</v>
      </c>
      <c r="C31" t="str">
        <f ca="1">VLOOKUP(B31, $H$2:$I$11, 2, FALSE)</f>
        <v>Beauty</v>
      </c>
      <c r="D31">
        <f ca="1">RANDBETWEEN(500,1000)</f>
        <v>992</v>
      </c>
    </row>
    <row r="32" spans="1:4">
      <c r="A32" t="s">
        <v>208</v>
      </c>
      <c r="B32" t="str" cm="1">
        <f t="array" aca="1" ref="B32" ca="1">INDEX($H$2:$H$11, RANDBETWEEN(1,10))</f>
        <v>vitamins</v>
      </c>
      <c r="C32" t="str">
        <f ca="1">VLOOKUP(B32, $H$2:$I$11, 2, FALSE)</f>
        <v>health</v>
      </c>
      <c r="D32">
        <f ca="1">RANDBETWEEN(500,1000)</f>
        <v>670</v>
      </c>
    </row>
    <row r="33" spans="1:4">
      <c r="A33" t="s">
        <v>209</v>
      </c>
      <c r="B33" t="str" cm="1">
        <f t="array" aca="1" ref="B33" ca="1">INDEX($H$2:$H$11, RANDBETWEEN(1,10))</f>
        <v>Refrigerator</v>
      </c>
      <c r="C33" t="str">
        <f ca="1">VLOOKUP(B33, $H$2:$I$11, 2, FALSE)</f>
        <v>Home applicance</v>
      </c>
      <c r="D33">
        <f ca="1">RANDBETWEEN(500,1000)</f>
        <v>933</v>
      </c>
    </row>
    <row r="34" spans="1:4">
      <c r="A34" t="s">
        <v>210</v>
      </c>
      <c r="B34" t="str" cm="1">
        <f t="array" aca="1" ref="B34" ca="1">INDEX($H$2:$H$11, RANDBETWEEN(1,10))</f>
        <v>rice bag</v>
      </c>
      <c r="C34" t="str">
        <f ca="1">VLOOKUP(B34, $H$2:$I$11, 2, FALSE)</f>
        <v>grocery</v>
      </c>
      <c r="D34">
        <f ca="1">RANDBETWEEN(500,1000)</f>
        <v>629</v>
      </c>
    </row>
    <row r="35" spans="1:4">
      <c r="A35" t="s">
        <v>211</v>
      </c>
      <c r="B35" t="str" cm="1">
        <f t="array" aca="1" ref="B35" ca="1">INDEX($H$2:$H$11, RANDBETWEEN(1,10))</f>
        <v>Refrigerator</v>
      </c>
      <c r="C35" s="1" t="str">
        <f ca="1">VLOOKUP(B35, $H$2:$I$11, 2, FALSE)</f>
        <v>Home applicance</v>
      </c>
      <c r="D35">
        <f ca="1">RANDBETWEEN(500,1000)</f>
        <v>625</v>
      </c>
    </row>
    <row r="36" spans="1:4">
      <c r="A36" t="s">
        <v>212</v>
      </c>
      <c r="B36" t="str" cm="1">
        <f t="array" aca="1" ref="B36" ca="1">INDEX($H$2:$H$11, RANDBETWEEN(1,10))</f>
        <v>tshirt</v>
      </c>
      <c r="C36" t="str">
        <f ca="1">VLOOKUP(B36, $H$2:$I$11, 2, FALSE)</f>
        <v>fashion</v>
      </c>
      <c r="D36">
        <f ca="1">RANDBETWEEN(500,1000)</f>
        <v>966</v>
      </c>
    </row>
    <row r="37" spans="1:4">
      <c r="A37" t="s">
        <v>213</v>
      </c>
      <c r="B37" t="str" cm="1">
        <f t="array" aca="1" ref="B37" ca="1">INDEX($H$2:$H$11, RANDBETWEEN(1,10))</f>
        <v>Refrigerator</v>
      </c>
      <c r="C37" t="str">
        <f ca="1">VLOOKUP(B37, $H$2:$I$11, 2, FALSE)</f>
        <v>Home applicance</v>
      </c>
      <c r="D37">
        <f ca="1">RANDBETWEEN(500,1000)</f>
        <v>999</v>
      </c>
    </row>
    <row r="38" spans="1:4">
      <c r="A38" t="s">
        <v>214</v>
      </c>
      <c r="B38" t="str" cm="1">
        <f t="array" aca="1" ref="B38" ca="1">INDEX($H$2:$H$11, RANDBETWEEN(1,10))</f>
        <v>notebook</v>
      </c>
      <c r="C38" t="str">
        <f ca="1">VLOOKUP(B38, $H$2:$I$11, 2, FALSE)</f>
        <v>stationary</v>
      </c>
      <c r="D38">
        <f ca="1">RANDBETWEEN(500,1000)</f>
        <v>715</v>
      </c>
    </row>
    <row r="39" spans="1:4">
      <c r="A39" t="s">
        <v>215</v>
      </c>
      <c r="B39" t="str" cm="1">
        <f t="array" aca="1" ref="B39" ca="1">INDEX($H$2:$H$11, RANDBETWEEN(1,10))</f>
        <v>notebook</v>
      </c>
      <c r="C39" t="str">
        <f ca="1">VLOOKUP(B39, $H$2:$I$11, 2, FALSE)</f>
        <v>stationary</v>
      </c>
      <c r="D39">
        <f ca="1">RANDBETWEEN(500,1000)</f>
        <v>793</v>
      </c>
    </row>
    <row r="40" spans="1:4">
      <c r="A40" t="s">
        <v>216</v>
      </c>
      <c r="B40" t="str" cm="1">
        <f t="array" aca="1" ref="B40" ca="1">INDEX($H$2:$H$11, RANDBETWEEN(1,10))</f>
        <v>vitamins</v>
      </c>
      <c r="C40" t="str">
        <f ca="1">VLOOKUP(B40, $H$2:$I$11, 2, FALSE)</f>
        <v>health</v>
      </c>
      <c r="D40">
        <f ca="1">RANDBETWEEN(500,1000)</f>
        <v>662</v>
      </c>
    </row>
    <row r="41" spans="1:4">
      <c r="A41" t="s">
        <v>217</v>
      </c>
      <c r="B41" t="str" cm="1">
        <f t="array" aca="1" ref="B41" ca="1">INDEX($H$2:$H$11, RANDBETWEEN(1,10))</f>
        <v>Refrigerator</v>
      </c>
      <c r="C41" t="str">
        <f ca="1">VLOOKUP(B41, $H$2:$I$11, 2, FALSE)</f>
        <v>Home applicance</v>
      </c>
      <c r="D41">
        <f ca="1">RANDBETWEEN(500,1000)</f>
        <v>889</v>
      </c>
    </row>
    <row r="42" spans="1:4">
      <c r="A42" t="s">
        <v>218</v>
      </c>
      <c r="B42" t="str" cm="1">
        <f t="array" aca="1" ref="B42" ca="1">INDEX($H$2:$H$11, RANDBETWEEN(1,10))</f>
        <v>Refrigerator</v>
      </c>
      <c r="C42" t="str">
        <f ca="1">VLOOKUP(B42, $H$2:$I$11, 2, FALSE)</f>
        <v>Home applicance</v>
      </c>
      <c r="D42">
        <f ca="1">RANDBETWEEN(500,1000)</f>
        <v>596</v>
      </c>
    </row>
    <row r="43" spans="1:4">
      <c r="A43" t="s">
        <v>219</v>
      </c>
      <c r="B43" t="str" cm="1">
        <f t="array" aca="1" ref="B43" ca="1">INDEX($H$2:$H$11, RANDBETWEEN(1,10))</f>
        <v>smart phone</v>
      </c>
      <c r="C43" t="str">
        <f ca="1">VLOOKUP(B43, $H$2:$I$11, 2, FALSE)</f>
        <v>mobile</v>
      </c>
      <c r="D43">
        <f ca="1">RANDBETWEEN(500,1000)</f>
        <v>717</v>
      </c>
    </row>
    <row r="44" spans="1:4">
      <c r="A44" t="s">
        <v>220</v>
      </c>
      <c r="B44" t="str" cm="1">
        <f t="array" aca="1" ref="B44" ca="1">INDEX($H$2:$H$11, RANDBETWEEN(1,10))</f>
        <v>notebook</v>
      </c>
      <c r="C44" t="str">
        <f ca="1">VLOOKUP(B44, $H$2:$I$11, 2, FALSE)</f>
        <v>stationary</v>
      </c>
      <c r="D44">
        <f ca="1">RANDBETWEEN(500,1000)</f>
        <v>946</v>
      </c>
    </row>
    <row r="45" spans="1:4">
      <c r="A45" t="s">
        <v>221</v>
      </c>
      <c r="B45" t="str" cm="1">
        <f t="array" aca="1" ref="B45" ca="1">INDEX($H$2:$H$11, RANDBETWEEN(1,10))</f>
        <v xml:space="preserve">teddy bear </v>
      </c>
      <c r="C45" t="str">
        <f ca="1">VLOOKUP(B45, $H$2:$I$11, 2, FALSE)</f>
        <v>toys</v>
      </c>
      <c r="D45">
        <f ca="1">RANDBETWEEN(500,1000)</f>
        <v>875</v>
      </c>
    </row>
    <row r="46" spans="1:4">
      <c r="A46" t="s">
        <v>222</v>
      </c>
      <c r="B46" t="str" cm="1">
        <f t="array" aca="1" ref="B46" ca="1">INDEX($H$2:$H$11, RANDBETWEEN(1,10))</f>
        <v>Refrigerator</v>
      </c>
      <c r="C46" t="str">
        <f ca="1">VLOOKUP(B46, $H$2:$I$11, 2, FALSE)</f>
        <v>Home applicance</v>
      </c>
      <c r="D46">
        <f ca="1">RANDBETWEEN(500,1000)</f>
        <v>780</v>
      </c>
    </row>
    <row r="47" spans="1:4">
      <c r="A47" t="s">
        <v>223</v>
      </c>
      <c r="B47" t="str" cm="1">
        <f t="array" aca="1" ref="B47" ca="1">INDEX($H$2:$H$11, RANDBETWEEN(1,10))</f>
        <v xml:space="preserve">teddy bear </v>
      </c>
      <c r="C47" t="str">
        <f ca="1">VLOOKUP(B47, $H$2:$I$11, 2, FALSE)</f>
        <v>toys</v>
      </c>
      <c r="D47">
        <f ca="1">RANDBETWEEN(500,1000)</f>
        <v>650</v>
      </c>
    </row>
    <row r="48" spans="1:4">
      <c r="A48" t="s">
        <v>224</v>
      </c>
      <c r="B48" t="str" cm="1">
        <f t="array" aca="1" ref="B48" ca="1">INDEX($H$2:$H$11, RANDBETWEEN(1,10))</f>
        <v>rice bag</v>
      </c>
      <c r="C48" t="str">
        <f ca="1">VLOOKUP(B48, $H$2:$I$11, 2, FALSE)</f>
        <v>grocery</v>
      </c>
      <c r="D48">
        <f ca="1">RANDBETWEEN(500,1000)</f>
        <v>624</v>
      </c>
    </row>
    <row r="49" spans="1:4">
      <c r="A49" t="s">
        <v>225</v>
      </c>
      <c r="B49" t="str" cm="1">
        <f t="array" aca="1" ref="B49" ca="1">INDEX($H$2:$H$11, RANDBETWEEN(1,10))</f>
        <v>smart phone</v>
      </c>
      <c r="C49" t="str">
        <f ca="1">VLOOKUP(B49, $H$2:$I$11, 2, FALSE)</f>
        <v>mobile</v>
      </c>
      <c r="D49">
        <f ca="1">RANDBETWEEN(500,1000)</f>
        <v>676</v>
      </c>
    </row>
    <row r="50" spans="1:4">
      <c r="A50" t="s">
        <v>226</v>
      </c>
      <c r="B50" t="str" cm="1">
        <f t="array" aca="1" ref="B50" ca="1">INDEX($H$2:$H$11, RANDBETWEEN(1,10))</f>
        <v>vitamins</v>
      </c>
      <c r="C50" t="str">
        <f ca="1">VLOOKUP(B50, $H$2:$I$11, 2, FALSE)</f>
        <v>health</v>
      </c>
      <c r="D50">
        <f ca="1">RANDBETWEEN(500,1000)</f>
        <v>771</v>
      </c>
    </row>
    <row r="51" spans="1:4">
      <c r="A51" t="s">
        <v>227</v>
      </c>
      <c r="B51" t="str" cm="1">
        <f t="array" aca="1" ref="B51" ca="1">INDEX($H$2:$H$11, RANDBETWEEN(1,10))</f>
        <v>notebook</v>
      </c>
      <c r="C51" t="str">
        <f ca="1">VLOOKUP(B51, $H$2:$I$11, 2, FALSE)</f>
        <v>stationary</v>
      </c>
      <c r="D51">
        <f ca="1">RANDBETWEEN(500,1000)</f>
        <v>999</v>
      </c>
    </row>
  </sheetData>
  <mergeCells count="2">
    <mergeCell ref="J1:M1"/>
    <mergeCell ref="O1:P1"/>
  </mergeCells>
  <conditionalFormatting sqref="D2:D51">
    <cfRule type="top10" dxfId="5" priority="1" rank="10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788C-A1F9-464C-8C81-30987E1571D3}">
  <dimension ref="A1:O51"/>
  <sheetViews>
    <sheetView topLeftCell="A35" workbookViewId="0">
      <selection activeCell="F2" sqref="F2"/>
    </sheetView>
  </sheetViews>
  <sheetFormatPr defaultRowHeight="15"/>
  <cols>
    <col min="1" max="1" width="10.28515625" bestFit="1" customWidth="1"/>
    <col min="2" max="2" width="14.28515625" bestFit="1" customWidth="1"/>
    <col min="3" max="3" width="12.42578125" bestFit="1" customWidth="1"/>
    <col min="4" max="4" width="15.42578125" customWidth="1"/>
    <col min="5" max="5" width="12.85546875" customWidth="1"/>
    <col min="6" max="6" width="14.42578125" bestFit="1" customWidth="1"/>
    <col min="10" max="10" width="13.28515625" bestFit="1" customWidth="1"/>
    <col min="11" max="11" width="12.140625" bestFit="1" customWidth="1"/>
    <col min="12" max="12" width="11.85546875" bestFit="1" customWidth="1"/>
    <col min="14" max="14" width="22.140625" bestFit="1" customWidth="1"/>
    <col min="15" max="15" width="19.28515625" bestFit="1" customWidth="1"/>
  </cols>
  <sheetData>
    <row r="1" spans="1:15">
      <c r="A1" t="s">
        <v>228</v>
      </c>
      <c r="B1" t="s">
        <v>25</v>
      </c>
      <c r="C1" t="s">
        <v>229</v>
      </c>
      <c r="D1" t="s">
        <v>230</v>
      </c>
      <c r="E1" t="s">
        <v>231</v>
      </c>
      <c r="F1" t="s">
        <v>232</v>
      </c>
      <c r="I1" s="37" t="s">
        <v>233</v>
      </c>
      <c r="J1" s="38"/>
      <c r="K1" s="38"/>
      <c r="L1" s="39"/>
      <c r="N1" s="37" t="s">
        <v>151</v>
      </c>
      <c r="O1" s="39"/>
    </row>
    <row r="2" spans="1:15" ht="18" customHeight="1">
      <c r="A2" t="s">
        <v>234</v>
      </c>
      <c r="B2" t="s">
        <v>106</v>
      </c>
      <c r="C2" t="s">
        <v>195</v>
      </c>
      <c r="D2" s="1">
        <f ca="1">RANDBETWEEN(1,3)</f>
        <v>3</v>
      </c>
      <c r="E2" s="2">
        <f ca="1">RANDBETWEEN(DATE(2024,1,1), DATE(2024,12,31))</f>
        <v>45627</v>
      </c>
      <c r="F2">
        <f ca="1">D2 * VLOOKUP(C2, Product!$A$2:$D$51, 4, FALSE)</f>
        <v>2913</v>
      </c>
      <c r="I2" s="7" t="s">
        <v>235</v>
      </c>
      <c r="J2" s="7" t="s">
        <v>236</v>
      </c>
      <c r="K2" s="7" t="s">
        <v>237</v>
      </c>
      <c r="L2" s="7" t="s">
        <v>238</v>
      </c>
      <c r="N2" s="7" t="s">
        <v>239</v>
      </c>
      <c r="O2" s="7" t="s">
        <v>240</v>
      </c>
    </row>
    <row r="3" spans="1:15">
      <c r="A3" t="s">
        <v>241</v>
      </c>
      <c r="B3" t="s">
        <v>118</v>
      </c>
      <c r="C3" t="s">
        <v>216</v>
      </c>
      <c r="D3" s="1">
        <f ca="1">RANDBETWEEN(1,3)</f>
        <v>1</v>
      </c>
      <c r="E3" s="2">
        <f ca="1">RANDBETWEEN(DATE(2024,1,1), DATE(2024,12,31))</f>
        <v>45364</v>
      </c>
      <c r="F3">
        <f ca="1">D3 * VLOOKUP(C3, Product!$A$2:$D$51, 4, FALSE)</f>
        <v>662</v>
      </c>
      <c r="I3" s="7">
        <f ca="1">SUM(F2:F51)</f>
        <v>76169</v>
      </c>
      <c r="J3" s="7">
        <f ca="1">SUM(D2:D51)</f>
        <v>100</v>
      </c>
      <c r="K3" s="7">
        <f ca="1">MAX(F2:F51)</f>
        <v>2988</v>
      </c>
      <c r="L3" s="7">
        <f ca="1">MIN(F2:F51)</f>
        <v>573</v>
      </c>
      <c r="N3" s="7" t="str">
        <f ca="1">IF(F2&gt;10000,"High","Low")</f>
        <v>Low</v>
      </c>
      <c r="O3" s="7" t="str">
        <f ca="1">IF(WEEKDAY(E2)=1,"Sunday Sale", IF(WEEKDAY(E2)=7,"Saturday Sale","Weekday Sale"))</f>
        <v>Sunday Sale</v>
      </c>
    </row>
    <row r="4" spans="1:15">
      <c r="A4" t="s">
        <v>242</v>
      </c>
      <c r="B4" t="s">
        <v>66</v>
      </c>
      <c r="C4" t="s">
        <v>204</v>
      </c>
      <c r="D4" s="1">
        <f ca="1">RANDBETWEEN(1,3)</f>
        <v>2</v>
      </c>
      <c r="E4" s="2">
        <f ca="1">RANDBETWEEN(DATE(2024,1,1), DATE(2024,12,31))</f>
        <v>45508</v>
      </c>
      <c r="F4">
        <f ca="1">D4 * VLOOKUP(C4, Product!$A$2:$D$51, 4, FALSE)</f>
        <v>1506</v>
      </c>
    </row>
    <row r="5" spans="1:15">
      <c r="A5" t="s">
        <v>243</v>
      </c>
      <c r="B5" t="s">
        <v>100</v>
      </c>
      <c r="C5" t="s">
        <v>200</v>
      </c>
      <c r="D5" s="1">
        <f ca="1">RANDBETWEEN(1,3)</f>
        <v>1</v>
      </c>
      <c r="E5" s="2">
        <f ca="1">RANDBETWEEN(DATE(2024,1,1), DATE(2024,12,31))</f>
        <v>45490</v>
      </c>
      <c r="F5">
        <f ca="1">D5 * VLOOKUP(C5, Product!$A$2:$D$51, 4, FALSE)</f>
        <v>602</v>
      </c>
    </row>
    <row r="6" spans="1:15">
      <c r="A6" t="s">
        <v>244</v>
      </c>
      <c r="B6" t="s">
        <v>48</v>
      </c>
      <c r="C6" t="s">
        <v>221</v>
      </c>
      <c r="D6" s="1">
        <f ca="1">RANDBETWEEN(1,3)</f>
        <v>1</v>
      </c>
      <c r="E6" s="2">
        <f ca="1">RANDBETWEEN(DATE(2024,1,1), DATE(2024,12,31))</f>
        <v>45449</v>
      </c>
      <c r="F6">
        <f ca="1">D6 * VLOOKUP(C6, Product!$A$2:$D$51, 4, FALSE)</f>
        <v>875</v>
      </c>
    </row>
    <row r="7" spans="1:15">
      <c r="A7" t="s">
        <v>245</v>
      </c>
      <c r="B7" t="s">
        <v>140</v>
      </c>
      <c r="C7" t="s">
        <v>194</v>
      </c>
      <c r="D7" s="1">
        <f ca="1">RANDBETWEEN(1,3)</f>
        <v>1</v>
      </c>
      <c r="E7" s="2">
        <f ca="1">RANDBETWEEN(DATE(2024,1,1), DATE(2024,12,31))</f>
        <v>45657</v>
      </c>
      <c r="F7">
        <f ca="1">D7 * VLOOKUP(C7, Product!$A$2:$D$51, 4, FALSE)</f>
        <v>734</v>
      </c>
    </row>
    <row r="8" spans="1:15">
      <c r="A8" t="s">
        <v>246</v>
      </c>
      <c r="B8" t="s">
        <v>46</v>
      </c>
      <c r="C8" t="s">
        <v>189</v>
      </c>
      <c r="D8" s="1">
        <f ca="1">RANDBETWEEN(1,3)</f>
        <v>3</v>
      </c>
      <c r="E8" s="2">
        <f ca="1">RANDBETWEEN(DATE(2024,1,1), DATE(2024,12,31))</f>
        <v>45429</v>
      </c>
      <c r="F8">
        <f ca="1">D8 * VLOOKUP(C8, Product!$A$2:$D$51, 4, FALSE)</f>
        <v>2388</v>
      </c>
    </row>
    <row r="9" spans="1:15">
      <c r="A9" t="s">
        <v>247</v>
      </c>
      <c r="B9" t="s">
        <v>138</v>
      </c>
      <c r="C9" t="s">
        <v>197</v>
      </c>
      <c r="D9" s="1">
        <f ca="1">RANDBETWEEN(1,3)</f>
        <v>2</v>
      </c>
      <c r="E9" s="2">
        <f ca="1">RANDBETWEEN(DATE(2024,1,1), DATE(2024,12,31))</f>
        <v>45635</v>
      </c>
      <c r="F9">
        <f ca="1">D9 * VLOOKUP(C9, Product!$A$2:$D$51, 4, FALSE)</f>
        <v>1700</v>
      </c>
    </row>
    <row r="10" spans="1:15">
      <c r="A10" t="s">
        <v>248</v>
      </c>
      <c r="B10" t="s">
        <v>132</v>
      </c>
      <c r="C10" t="s">
        <v>203</v>
      </c>
      <c r="D10" s="1">
        <f ca="1">RANDBETWEEN(1,3)</f>
        <v>1</v>
      </c>
      <c r="E10" s="2">
        <f ca="1">RANDBETWEEN(DATE(2024,1,1), DATE(2024,12,31))</f>
        <v>45379</v>
      </c>
      <c r="F10">
        <f ca="1">D10 * VLOOKUP(C10, Product!$A$2:$D$51, 4, FALSE)</f>
        <v>651</v>
      </c>
    </row>
    <row r="11" spans="1:15">
      <c r="A11" t="s">
        <v>249</v>
      </c>
      <c r="B11" t="s">
        <v>116</v>
      </c>
      <c r="C11" t="s">
        <v>179</v>
      </c>
      <c r="D11" s="1">
        <f ca="1">RANDBETWEEN(1,3)</f>
        <v>1</v>
      </c>
      <c r="E11" s="2">
        <f ca="1">RANDBETWEEN(DATE(2024,1,1), DATE(2024,12,31))</f>
        <v>45332</v>
      </c>
      <c r="F11">
        <f ca="1">D11 * VLOOKUP(C11, Product!$A$2:$D$51, 4, FALSE)</f>
        <v>580</v>
      </c>
    </row>
    <row r="12" spans="1:15">
      <c r="A12" t="s">
        <v>250</v>
      </c>
      <c r="B12" t="s">
        <v>126</v>
      </c>
      <c r="C12" t="s">
        <v>224</v>
      </c>
      <c r="D12" s="1">
        <f ca="1">RANDBETWEEN(1,3)</f>
        <v>2</v>
      </c>
      <c r="E12" s="2">
        <f ca="1">RANDBETWEEN(DATE(2024,1,1), DATE(2024,12,31))</f>
        <v>45414</v>
      </c>
      <c r="F12">
        <f ca="1">D12 * VLOOKUP(C12, Product!$A$2:$D$51, 4, FALSE)</f>
        <v>1248</v>
      </c>
    </row>
    <row r="13" spans="1:15">
      <c r="A13" t="s">
        <v>251</v>
      </c>
      <c r="B13" t="s">
        <v>86</v>
      </c>
      <c r="C13" t="s">
        <v>223</v>
      </c>
      <c r="D13" s="1">
        <f ca="1">RANDBETWEEN(1,3)</f>
        <v>3</v>
      </c>
      <c r="E13" s="2">
        <f ca="1">RANDBETWEEN(DATE(2024,1,1), DATE(2024,12,31))</f>
        <v>45549</v>
      </c>
      <c r="F13">
        <f ca="1">D13 * VLOOKUP(C13, Product!$A$2:$D$51, 4, FALSE)</f>
        <v>1950</v>
      </c>
    </row>
    <row r="14" spans="1:15">
      <c r="A14" t="s">
        <v>252</v>
      </c>
      <c r="B14" t="s">
        <v>74</v>
      </c>
      <c r="C14" t="s">
        <v>167</v>
      </c>
      <c r="D14" s="1">
        <f ca="1">RANDBETWEEN(1,3)</f>
        <v>2</v>
      </c>
      <c r="E14" s="2">
        <f ca="1">RANDBETWEEN(DATE(2024,1,1), DATE(2024,12,31))</f>
        <v>45326</v>
      </c>
      <c r="F14">
        <f ca="1">D14 * VLOOKUP(C14, Product!$A$2:$D$51, 4, FALSE)</f>
        <v>1132</v>
      </c>
    </row>
    <row r="15" spans="1:15">
      <c r="A15" t="s">
        <v>253</v>
      </c>
      <c r="B15" t="s">
        <v>92</v>
      </c>
      <c r="C15" t="s">
        <v>188</v>
      </c>
      <c r="D15" s="1">
        <f ca="1">RANDBETWEEN(1,3)</f>
        <v>2</v>
      </c>
      <c r="E15" s="2">
        <f ca="1">RANDBETWEEN(DATE(2024,1,1), DATE(2024,12,31))</f>
        <v>45476</v>
      </c>
      <c r="F15">
        <f ca="1">D15 * VLOOKUP(C15, Product!$A$2:$D$51, 4, FALSE)</f>
        <v>1220</v>
      </c>
    </row>
    <row r="16" spans="1:15">
      <c r="A16" t="s">
        <v>254</v>
      </c>
      <c r="B16" t="s">
        <v>58</v>
      </c>
      <c r="C16" t="s">
        <v>217</v>
      </c>
      <c r="D16" s="1">
        <f ca="1">RANDBETWEEN(1,3)</f>
        <v>1</v>
      </c>
      <c r="E16" s="2">
        <f ca="1">RANDBETWEEN(DATE(2024,1,1), DATE(2024,12,31))</f>
        <v>45453</v>
      </c>
      <c r="F16">
        <f ca="1">D16 * VLOOKUP(C16, Product!$A$2:$D$51, 4, FALSE)</f>
        <v>889</v>
      </c>
    </row>
    <row r="17" spans="1:6">
      <c r="A17" t="s">
        <v>255</v>
      </c>
      <c r="B17" t="s">
        <v>120</v>
      </c>
      <c r="C17" t="s">
        <v>193</v>
      </c>
      <c r="D17" s="1">
        <f ca="1">RANDBETWEEN(1,3)</f>
        <v>3</v>
      </c>
      <c r="E17" s="2">
        <f ca="1">RANDBETWEEN(DATE(2024,1,1), DATE(2024,12,31))</f>
        <v>45601</v>
      </c>
      <c r="F17">
        <f ca="1">D17 * VLOOKUP(C17, Product!$A$2:$D$51, 4, FALSE)</f>
        <v>1542</v>
      </c>
    </row>
    <row r="18" spans="1:6">
      <c r="A18" t="s">
        <v>256</v>
      </c>
      <c r="B18" t="s">
        <v>82</v>
      </c>
      <c r="C18" t="s">
        <v>205</v>
      </c>
      <c r="D18" s="1">
        <f ca="1">RANDBETWEEN(1,3)</f>
        <v>3</v>
      </c>
      <c r="E18" s="2">
        <f ca="1">RANDBETWEEN(DATE(2024,1,1), DATE(2024,12,31))</f>
        <v>45365</v>
      </c>
      <c r="F18">
        <f ca="1">D18 * VLOOKUP(C18, Product!$A$2:$D$51, 4, FALSE)</f>
        <v>2988</v>
      </c>
    </row>
    <row r="19" spans="1:6">
      <c r="A19" t="s">
        <v>257</v>
      </c>
      <c r="B19" t="s">
        <v>136</v>
      </c>
      <c r="C19" t="s">
        <v>207</v>
      </c>
      <c r="D19" s="1">
        <f ca="1">RANDBETWEEN(1,3)</f>
        <v>2</v>
      </c>
      <c r="E19" s="2">
        <f ca="1">RANDBETWEEN(DATE(2024,1,1), DATE(2024,12,31))</f>
        <v>45515</v>
      </c>
      <c r="F19">
        <f ca="1">D19 * VLOOKUP(C19, Product!$A$2:$D$51, 4, FALSE)</f>
        <v>1984</v>
      </c>
    </row>
    <row r="20" spans="1:6">
      <c r="A20" t="s">
        <v>258</v>
      </c>
      <c r="B20" t="s">
        <v>142</v>
      </c>
      <c r="C20" t="s">
        <v>211</v>
      </c>
      <c r="D20" s="1">
        <f ca="1">RANDBETWEEN(1,3)</f>
        <v>1</v>
      </c>
      <c r="E20" s="2">
        <f ca="1">RANDBETWEEN(DATE(2024,1,1), DATE(2024,12,31))</f>
        <v>45651</v>
      </c>
      <c r="F20">
        <f ca="1">D20 * VLOOKUP(C20, Product!$A$2:$D$51, 4, FALSE)</f>
        <v>625</v>
      </c>
    </row>
    <row r="21" spans="1:6">
      <c r="A21" t="s">
        <v>259</v>
      </c>
      <c r="B21" t="s">
        <v>88</v>
      </c>
      <c r="C21" t="s">
        <v>176</v>
      </c>
      <c r="D21" s="1">
        <f ca="1">RANDBETWEEN(1,3)</f>
        <v>3</v>
      </c>
      <c r="E21" s="2">
        <f ca="1">RANDBETWEEN(DATE(2024,1,1), DATE(2024,12,31))</f>
        <v>45491</v>
      </c>
      <c r="F21">
        <f ca="1">D21 * VLOOKUP(C21, Product!$A$2:$D$51, 4, FALSE)</f>
        <v>2277</v>
      </c>
    </row>
    <row r="22" spans="1:6">
      <c r="A22" t="s">
        <v>260</v>
      </c>
      <c r="B22" t="s">
        <v>130</v>
      </c>
      <c r="C22" t="s">
        <v>209</v>
      </c>
      <c r="D22" s="1">
        <f ca="1">RANDBETWEEN(1,3)</f>
        <v>2</v>
      </c>
      <c r="E22" s="2">
        <f ca="1">RANDBETWEEN(DATE(2024,1,1), DATE(2024,12,31))</f>
        <v>45627</v>
      </c>
      <c r="F22">
        <f ca="1">D22 * VLOOKUP(C22, Product!$A$2:$D$51, 4, FALSE)</f>
        <v>1866</v>
      </c>
    </row>
    <row r="23" spans="1:6">
      <c r="A23" t="s">
        <v>261</v>
      </c>
      <c r="B23" t="s">
        <v>94</v>
      </c>
      <c r="C23" t="s">
        <v>218</v>
      </c>
      <c r="D23" s="1">
        <f ca="1">RANDBETWEEN(1,3)</f>
        <v>3</v>
      </c>
      <c r="E23" s="2">
        <f ca="1">RANDBETWEEN(DATE(2024,1,1), DATE(2024,12,31))</f>
        <v>45415</v>
      </c>
      <c r="F23">
        <f ca="1">D23 * VLOOKUP(C23, Product!$A$2:$D$51, 4, FALSE)</f>
        <v>1788</v>
      </c>
    </row>
    <row r="24" spans="1:6">
      <c r="A24" t="s">
        <v>262</v>
      </c>
      <c r="B24" t="s">
        <v>72</v>
      </c>
      <c r="C24" t="s">
        <v>192</v>
      </c>
      <c r="D24" s="1">
        <f ca="1">RANDBETWEEN(1,3)</f>
        <v>3</v>
      </c>
      <c r="E24" s="2">
        <f ca="1">RANDBETWEEN(DATE(2024,1,1), DATE(2024,12,31))</f>
        <v>45420</v>
      </c>
      <c r="F24">
        <f ca="1">D24 * VLOOKUP(C24, Product!$A$2:$D$51, 4, FALSE)</f>
        <v>2955</v>
      </c>
    </row>
    <row r="25" spans="1:6">
      <c r="A25" t="s">
        <v>263</v>
      </c>
      <c r="B25" t="s">
        <v>104</v>
      </c>
      <c r="C25" t="s">
        <v>196</v>
      </c>
      <c r="D25" s="1">
        <f ca="1">RANDBETWEEN(1,3)</f>
        <v>1</v>
      </c>
      <c r="E25" s="2">
        <f ca="1">RANDBETWEEN(DATE(2024,1,1), DATE(2024,12,31))</f>
        <v>45353</v>
      </c>
      <c r="F25">
        <f ca="1">D25 * VLOOKUP(C25, Product!$A$2:$D$51, 4, FALSE)</f>
        <v>988</v>
      </c>
    </row>
    <row r="26" spans="1:6">
      <c r="A26" t="s">
        <v>264</v>
      </c>
      <c r="B26" t="s">
        <v>90</v>
      </c>
      <c r="C26" t="s">
        <v>164</v>
      </c>
      <c r="D26" s="1">
        <f ca="1">RANDBETWEEN(1,3)</f>
        <v>1</v>
      </c>
      <c r="E26" s="2">
        <f ca="1">RANDBETWEEN(DATE(2024,1,1), DATE(2024,12,31))</f>
        <v>45439</v>
      </c>
      <c r="F26">
        <f ca="1">D26 * VLOOKUP(C26, Product!$A$2:$D$51, 4, FALSE)</f>
        <v>951</v>
      </c>
    </row>
    <row r="27" spans="1:6">
      <c r="A27" t="s">
        <v>265</v>
      </c>
      <c r="B27" t="s">
        <v>68</v>
      </c>
      <c r="C27" t="s">
        <v>182</v>
      </c>
      <c r="D27" s="1">
        <f ca="1">RANDBETWEEN(1,3)</f>
        <v>1</v>
      </c>
      <c r="E27" s="2">
        <f ca="1">RANDBETWEEN(DATE(2024,1,1), DATE(2024,12,31))</f>
        <v>45335</v>
      </c>
      <c r="F27">
        <f ca="1">D27 * VLOOKUP(C27, Product!$A$2:$D$51, 4, FALSE)</f>
        <v>573</v>
      </c>
    </row>
    <row r="28" spans="1:6">
      <c r="A28" t="s">
        <v>266</v>
      </c>
      <c r="B28" t="s">
        <v>122</v>
      </c>
      <c r="C28" t="s">
        <v>201</v>
      </c>
      <c r="D28" s="1">
        <f ca="1">RANDBETWEEN(1,3)</f>
        <v>3</v>
      </c>
      <c r="E28" s="2">
        <f ca="1">RANDBETWEEN(DATE(2024,1,1), DATE(2024,12,31))</f>
        <v>45366</v>
      </c>
      <c r="F28">
        <f ca="1">D28 * VLOOKUP(C28, Product!$A$2:$D$51, 4, FALSE)</f>
        <v>2841</v>
      </c>
    </row>
    <row r="29" spans="1:6">
      <c r="A29" t="s">
        <v>267</v>
      </c>
      <c r="B29" t="s">
        <v>102</v>
      </c>
      <c r="C29" t="s">
        <v>227</v>
      </c>
      <c r="D29" s="1">
        <f ca="1">RANDBETWEEN(1,3)</f>
        <v>2</v>
      </c>
      <c r="E29" s="2">
        <f ca="1">RANDBETWEEN(DATE(2024,1,1), DATE(2024,12,31))</f>
        <v>45428</v>
      </c>
      <c r="F29">
        <f ca="1">D29 * VLOOKUP(C29, Product!$A$2:$D$51, 4, FALSE)</f>
        <v>1998</v>
      </c>
    </row>
    <row r="30" spans="1:6">
      <c r="A30" t="s">
        <v>268</v>
      </c>
      <c r="B30" t="s">
        <v>76</v>
      </c>
      <c r="C30" t="s">
        <v>208</v>
      </c>
      <c r="D30" s="1">
        <f ca="1">RANDBETWEEN(1,3)</f>
        <v>1</v>
      </c>
      <c r="E30" s="2">
        <f ca="1">RANDBETWEEN(DATE(2024,1,1), DATE(2024,12,31))</f>
        <v>45490</v>
      </c>
      <c r="F30">
        <f ca="1">D30 * VLOOKUP(C30, Product!$A$2:$D$51, 4, FALSE)</f>
        <v>670</v>
      </c>
    </row>
    <row r="31" spans="1:6">
      <c r="A31" t="s">
        <v>269</v>
      </c>
      <c r="B31" t="s">
        <v>124</v>
      </c>
      <c r="C31" t="s">
        <v>152</v>
      </c>
      <c r="D31" s="1">
        <f ca="1">RANDBETWEEN(1,3)</f>
        <v>3</v>
      </c>
      <c r="E31" s="2">
        <f ca="1">RANDBETWEEN(DATE(2024,1,1), DATE(2024,12,31))</f>
        <v>45514</v>
      </c>
      <c r="F31">
        <f ca="1">D31 * VLOOKUP(C31, Product!$A$2:$D$51, 4, FALSE)</f>
        <v>1770</v>
      </c>
    </row>
    <row r="32" spans="1:6">
      <c r="A32" t="s">
        <v>270</v>
      </c>
      <c r="B32" t="s">
        <v>112</v>
      </c>
      <c r="C32" t="s">
        <v>215</v>
      </c>
      <c r="D32" s="1">
        <f ca="1">RANDBETWEEN(1,3)</f>
        <v>3</v>
      </c>
      <c r="E32" s="2">
        <f ca="1">RANDBETWEEN(DATE(2024,1,1), DATE(2024,12,31))</f>
        <v>45508</v>
      </c>
      <c r="F32">
        <f ca="1">D32 * VLOOKUP(C32, Product!$A$2:$D$51, 4, FALSE)</f>
        <v>2379</v>
      </c>
    </row>
    <row r="33" spans="1:6">
      <c r="A33" t="s">
        <v>271</v>
      </c>
      <c r="B33" t="s">
        <v>70</v>
      </c>
      <c r="C33" t="s">
        <v>219</v>
      </c>
      <c r="D33" s="1">
        <f ca="1">RANDBETWEEN(1,3)</f>
        <v>3</v>
      </c>
      <c r="E33" s="2">
        <f ca="1">RANDBETWEEN(DATE(2024,1,1), DATE(2024,12,31))</f>
        <v>45619</v>
      </c>
      <c r="F33">
        <f ca="1">D33 * VLOOKUP(C33, Product!$A$2:$D$51, 4, FALSE)</f>
        <v>2151</v>
      </c>
    </row>
    <row r="34" spans="1:6">
      <c r="A34" t="s">
        <v>272</v>
      </c>
      <c r="B34" t="s">
        <v>110</v>
      </c>
      <c r="C34" t="s">
        <v>220</v>
      </c>
      <c r="D34" s="1">
        <f ca="1">RANDBETWEEN(1,3)</f>
        <v>1</v>
      </c>
      <c r="E34" s="2">
        <f ca="1">RANDBETWEEN(DATE(2024,1,1), DATE(2024,12,31))</f>
        <v>45310</v>
      </c>
      <c r="F34">
        <f ca="1">D34 * VLOOKUP(C34, Product!$A$2:$D$51, 4, FALSE)</f>
        <v>946</v>
      </c>
    </row>
    <row r="35" spans="1:6">
      <c r="A35" t="s">
        <v>273</v>
      </c>
      <c r="B35" t="s">
        <v>128</v>
      </c>
      <c r="C35" t="s">
        <v>202</v>
      </c>
      <c r="D35" s="1">
        <f ca="1">RANDBETWEEN(1,3)</f>
        <v>1</v>
      </c>
      <c r="E35" s="2">
        <f ca="1">RANDBETWEEN(DATE(2024,1,1), DATE(2024,12,31))</f>
        <v>45532</v>
      </c>
      <c r="F35">
        <f ca="1">D35 * VLOOKUP(C35, Product!$A$2:$D$51, 4, FALSE)</f>
        <v>667</v>
      </c>
    </row>
    <row r="36" spans="1:6">
      <c r="A36" t="s">
        <v>274</v>
      </c>
      <c r="B36" t="s">
        <v>84</v>
      </c>
      <c r="C36" t="s">
        <v>161</v>
      </c>
      <c r="D36" s="1">
        <f ca="1">RANDBETWEEN(1,3)</f>
        <v>3</v>
      </c>
      <c r="E36" s="2">
        <f ca="1">RANDBETWEEN(DATE(2024,1,1), DATE(2024,12,31))</f>
        <v>45338</v>
      </c>
      <c r="F36">
        <f ca="1">D36 * VLOOKUP(C36, Product!$A$2:$D$51, 4, FALSE)</f>
        <v>1800</v>
      </c>
    </row>
    <row r="37" spans="1:6">
      <c r="A37" t="s">
        <v>275</v>
      </c>
      <c r="B37" t="s">
        <v>80</v>
      </c>
      <c r="C37" t="s">
        <v>214</v>
      </c>
      <c r="D37" s="1">
        <f ca="1">RANDBETWEEN(1,3)</f>
        <v>2</v>
      </c>
      <c r="E37" s="2">
        <f ca="1">RANDBETWEEN(DATE(2024,1,1), DATE(2024,12,31))</f>
        <v>45378</v>
      </c>
      <c r="F37">
        <f ca="1">D37 * VLOOKUP(C37, Product!$A$2:$D$51, 4, FALSE)</f>
        <v>1430</v>
      </c>
    </row>
    <row r="38" spans="1:6">
      <c r="A38" t="s">
        <v>276</v>
      </c>
      <c r="B38" t="s">
        <v>64</v>
      </c>
      <c r="C38" t="s">
        <v>170</v>
      </c>
      <c r="D38" s="1">
        <f ca="1">RANDBETWEEN(1,3)</f>
        <v>3</v>
      </c>
      <c r="E38" s="2">
        <f ca="1">RANDBETWEEN(DATE(2024,1,1), DATE(2024,12,31))</f>
        <v>45635</v>
      </c>
      <c r="F38">
        <f ca="1">D38 * VLOOKUP(C38, Product!$A$2:$D$51, 4, FALSE)</f>
        <v>2076</v>
      </c>
    </row>
    <row r="39" spans="1:6">
      <c r="A39" t="s">
        <v>277</v>
      </c>
      <c r="B39" t="s">
        <v>60</v>
      </c>
      <c r="C39" t="s">
        <v>173</v>
      </c>
      <c r="D39" s="1">
        <f ca="1">RANDBETWEEN(1,3)</f>
        <v>2</v>
      </c>
      <c r="E39" s="2">
        <f ca="1">RANDBETWEEN(DATE(2024,1,1), DATE(2024,12,31))</f>
        <v>45498</v>
      </c>
      <c r="F39">
        <f ca="1">D39 * VLOOKUP(C39, Product!$A$2:$D$51, 4, FALSE)</f>
        <v>1562</v>
      </c>
    </row>
    <row r="40" spans="1:6">
      <c r="A40" t="s">
        <v>278</v>
      </c>
      <c r="B40" t="s">
        <v>98</v>
      </c>
      <c r="C40" t="s">
        <v>213</v>
      </c>
      <c r="D40" s="1">
        <f ca="1">RANDBETWEEN(1,3)</f>
        <v>1</v>
      </c>
      <c r="E40" s="2">
        <f ca="1">RANDBETWEEN(DATE(2024,1,1), DATE(2024,12,31))</f>
        <v>45389</v>
      </c>
      <c r="F40">
        <f ca="1">D40 * VLOOKUP(C40, Product!$A$2:$D$51, 4, FALSE)</f>
        <v>999</v>
      </c>
    </row>
    <row r="41" spans="1:6">
      <c r="A41" t="s">
        <v>279</v>
      </c>
      <c r="B41" t="s">
        <v>42</v>
      </c>
      <c r="C41" t="s">
        <v>190</v>
      </c>
      <c r="D41" s="1">
        <f ca="1">RANDBETWEEN(1,3)</f>
        <v>1</v>
      </c>
      <c r="E41" s="2">
        <f ca="1">RANDBETWEEN(DATE(2024,1,1), DATE(2024,12,31))</f>
        <v>45544</v>
      </c>
      <c r="F41">
        <f ca="1">D41 * VLOOKUP(C41, Product!$A$2:$D$51, 4, FALSE)</f>
        <v>777</v>
      </c>
    </row>
    <row r="42" spans="1:6">
      <c r="A42" t="s">
        <v>280</v>
      </c>
      <c r="B42" t="s">
        <v>114</v>
      </c>
      <c r="C42" t="s">
        <v>185</v>
      </c>
      <c r="D42" s="1">
        <f ca="1">RANDBETWEEN(1,3)</f>
        <v>2</v>
      </c>
      <c r="E42" s="2">
        <f ca="1">RANDBETWEEN(DATE(2024,1,1), DATE(2024,12,31))</f>
        <v>45379</v>
      </c>
      <c r="F42">
        <f ca="1">D42 * VLOOKUP(C42, Product!$A$2:$D$51, 4, FALSE)</f>
        <v>1922</v>
      </c>
    </row>
    <row r="43" spans="1:6">
      <c r="A43" t="s">
        <v>281</v>
      </c>
      <c r="B43" t="s">
        <v>32</v>
      </c>
      <c r="C43" t="s">
        <v>198</v>
      </c>
      <c r="D43" s="1">
        <f ca="1">RANDBETWEEN(1,3)</f>
        <v>1</v>
      </c>
      <c r="E43" s="2">
        <f ca="1">RANDBETWEEN(DATE(2024,1,1), DATE(2024,12,31))</f>
        <v>45533</v>
      </c>
      <c r="F43">
        <f ca="1">D43 * VLOOKUP(C43, Product!$A$2:$D$51, 4, FALSE)</f>
        <v>933</v>
      </c>
    </row>
    <row r="44" spans="1:6">
      <c r="A44" t="s">
        <v>282</v>
      </c>
      <c r="B44" t="s">
        <v>44</v>
      </c>
      <c r="C44" t="s">
        <v>199</v>
      </c>
      <c r="D44" s="1">
        <f ca="1">RANDBETWEEN(1,3)</f>
        <v>2</v>
      </c>
      <c r="E44" s="2">
        <f ca="1">RANDBETWEEN(DATE(2024,1,1), DATE(2024,12,31))</f>
        <v>45296</v>
      </c>
      <c r="F44">
        <f ca="1">D44 * VLOOKUP(C44, Product!$A$2:$D$51, 4, FALSE)</f>
        <v>1762</v>
      </c>
    </row>
    <row r="45" spans="1:6">
      <c r="A45" t="s">
        <v>283</v>
      </c>
      <c r="B45" t="s">
        <v>78</v>
      </c>
      <c r="C45" t="s">
        <v>210</v>
      </c>
      <c r="D45" s="1">
        <f ca="1">RANDBETWEEN(1,3)</f>
        <v>3</v>
      </c>
      <c r="E45" s="2">
        <f ca="1">RANDBETWEEN(DATE(2024,1,1), DATE(2024,12,31))</f>
        <v>45655</v>
      </c>
      <c r="F45">
        <f ca="1">D45 * VLOOKUP(C45, Product!$A$2:$D$51, 4, FALSE)</f>
        <v>1887</v>
      </c>
    </row>
    <row r="46" spans="1:6">
      <c r="A46" t="s">
        <v>284</v>
      </c>
      <c r="B46" t="s">
        <v>56</v>
      </c>
      <c r="C46" t="s">
        <v>225</v>
      </c>
      <c r="D46" s="1">
        <f ca="1">RANDBETWEEN(1,3)</f>
        <v>1</v>
      </c>
      <c r="E46" s="2">
        <f ca="1">RANDBETWEEN(DATE(2024,1,1), DATE(2024,12,31))</f>
        <v>45491</v>
      </c>
      <c r="F46">
        <f ca="1">D46 * VLOOKUP(C46, Product!$A$2:$D$51, 4, FALSE)</f>
        <v>676</v>
      </c>
    </row>
    <row r="47" spans="1:6">
      <c r="A47" t="s">
        <v>285</v>
      </c>
      <c r="B47" t="s">
        <v>96</v>
      </c>
      <c r="C47" t="s">
        <v>212</v>
      </c>
      <c r="D47" s="1">
        <f ca="1">RANDBETWEEN(1,3)</f>
        <v>3</v>
      </c>
      <c r="E47" s="2">
        <f ca="1">RANDBETWEEN(DATE(2024,1,1), DATE(2024,12,31))</f>
        <v>45378</v>
      </c>
      <c r="F47">
        <f ca="1">D47 * VLOOKUP(C47, Product!$A$2:$D$51, 4, FALSE)</f>
        <v>2898</v>
      </c>
    </row>
    <row r="48" spans="1:6">
      <c r="A48" t="s">
        <v>286</v>
      </c>
      <c r="B48" t="s">
        <v>62</v>
      </c>
      <c r="C48" t="s">
        <v>226</v>
      </c>
      <c r="D48" s="1">
        <f ca="1">RANDBETWEEN(1,3)</f>
        <v>3</v>
      </c>
      <c r="E48" s="2">
        <f ca="1">RANDBETWEEN(DATE(2024,1,1), DATE(2024,12,31))</f>
        <v>45567</v>
      </c>
      <c r="F48">
        <f ca="1">D48 * VLOOKUP(C48, Product!$A$2:$D$51, 4, FALSE)</f>
        <v>2313</v>
      </c>
    </row>
    <row r="49" spans="1:6">
      <c r="A49" t="s">
        <v>287</v>
      </c>
      <c r="B49" t="s">
        <v>134</v>
      </c>
      <c r="C49" t="s">
        <v>222</v>
      </c>
      <c r="D49" s="1">
        <f ca="1">RANDBETWEEN(1,3)</f>
        <v>2</v>
      </c>
      <c r="E49" s="2">
        <f ca="1">RANDBETWEEN(DATE(2024,1,1), DATE(2024,12,31))</f>
        <v>45292</v>
      </c>
      <c r="F49">
        <f ca="1">D49 * VLOOKUP(C49, Product!$A$2:$D$51, 4, FALSE)</f>
        <v>1560</v>
      </c>
    </row>
    <row r="50" spans="1:6">
      <c r="A50" t="s">
        <v>288</v>
      </c>
      <c r="B50" t="s">
        <v>52</v>
      </c>
      <c r="C50" t="s">
        <v>206</v>
      </c>
      <c r="D50" s="1">
        <f ca="1">RANDBETWEEN(1,3)</f>
        <v>2</v>
      </c>
      <c r="E50" s="2">
        <f ca="1">RANDBETWEEN(DATE(2024,1,1), DATE(2024,12,31))</f>
        <v>45637</v>
      </c>
      <c r="F50">
        <f ca="1">D50 * VLOOKUP(C50, Product!$A$2:$D$51, 4, FALSE)</f>
        <v>1020</v>
      </c>
    </row>
    <row r="51" spans="1:6">
      <c r="A51" t="s">
        <v>289</v>
      </c>
      <c r="B51" t="s">
        <v>108</v>
      </c>
      <c r="C51" t="s">
        <v>191</v>
      </c>
      <c r="D51" s="1">
        <f ca="1">RANDBETWEEN(1,3)</f>
        <v>3</v>
      </c>
      <c r="E51" s="2">
        <f ca="1">RANDBETWEEN(DATE(2024,1,1), DATE(2024,12,31))</f>
        <v>45526</v>
      </c>
      <c r="F51">
        <f ca="1">D51 * VLOOKUP(C51, Product!$A$2:$D$51, 4, FALSE)</f>
        <v>1545</v>
      </c>
    </row>
  </sheetData>
  <mergeCells count="2">
    <mergeCell ref="I1:L1"/>
    <mergeCell ref="N1:O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ABBD-150E-431A-8127-716753D0BDC0}">
  <dimension ref="E1:M3"/>
  <sheetViews>
    <sheetView workbookViewId="0">
      <selection activeCell="J15" sqref="J15"/>
    </sheetView>
  </sheetViews>
  <sheetFormatPr defaultRowHeight="15"/>
  <cols>
    <col min="5" max="5" width="19.28515625" bestFit="1" customWidth="1"/>
    <col min="6" max="6" width="13.28515625" bestFit="1" customWidth="1"/>
    <col min="7" max="7" width="14.85546875" bestFit="1" customWidth="1"/>
    <col min="8" max="8" width="14.5703125" bestFit="1" customWidth="1"/>
  </cols>
  <sheetData>
    <row r="1" spans="5:13">
      <c r="E1" s="40" t="s">
        <v>290</v>
      </c>
      <c r="F1" s="41"/>
      <c r="G1" s="41"/>
      <c r="H1" s="42"/>
      <c r="I1" s="9"/>
      <c r="J1" s="9"/>
      <c r="K1" s="9"/>
      <c r="L1" s="9"/>
      <c r="M1" s="9"/>
    </row>
    <row r="2" spans="5:13">
      <c r="E2" s="10" t="s">
        <v>34</v>
      </c>
      <c r="F2" s="10" t="s">
        <v>36</v>
      </c>
      <c r="G2" s="10" t="s">
        <v>291</v>
      </c>
      <c r="H2" s="11" t="s">
        <v>292</v>
      </c>
    </row>
    <row r="3" spans="5:13">
      <c r="E3" s="7">
        <f>Employee!H3</f>
        <v>50</v>
      </c>
      <c r="F3" s="7">
        <f ca="1">Employee!J3</f>
        <v>72367.520000000004</v>
      </c>
      <c r="G3" s="7">
        <f ca="1">Employee!L3</f>
        <v>99594</v>
      </c>
      <c r="H3" s="7">
        <f ca="1">Employee!K3</f>
        <v>40705</v>
      </c>
    </row>
  </sheetData>
  <mergeCells count="1">
    <mergeCell ref="E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E3A3-E60B-47FA-A255-05081B1F41D7}">
  <dimension ref="A8:E18"/>
  <sheetViews>
    <sheetView topLeftCell="A5" workbookViewId="0">
      <selection activeCell="A14" sqref="A14"/>
    </sheetView>
  </sheetViews>
  <sheetFormatPr defaultRowHeight="15"/>
  <cols>
    <col min="1" max="1" width="14.7109375" bestFit="1" customWidth="1"/>
    <col min="2" max="2" width="13" bestFit="1" customWidth="1"/>
    <col min="3" max="3" width="9.7109375" bestFit="1" customWidth="1"/>
    <col min="4" max="4" width="16" bestFit="1" customWidth="1"/>
    <col min="5" max="5" width="19.42578125" bestFit="1" customWidth="1"/>
    <col min="6" max="6" width="7.85546875" bestFit="1" customWidth="1"/>
    <col min="7" max="7" width="6.28515625" bestFit="1" customWidth="1"/>
    <col min="8" max="8" width="9.85546875" bestFit="1" customWidth="1"/>
    <col min="9" max="9" width="9.7109375" bestFit="1" customWidth="1"/>
    <col min="10" max="10" width="6.28515625" bestFit="1" customWidth="1"/>
    <col min="11" max="11" width="11.140625" bestFit="1" customWidth="1"/>
  </cols>
  <sheetData>
    <row r="8" spans="1:5">
      <c r="A8" s="12" t="s">
        <v>27</v>
      </c>
      <c r="B8" t="s">
        <v>293</v>
      </c>
    </row>
    <row r="9" spans="1:5">
      <c r="A9" t="s">
        <v>294</v>
      </c>
      <c r="B9" s="13">
        <v>441076</v>
      </c>
    </row>
    <row r="10" spans="1:5">
      <c r="A10" t="s">
        <v>295</v>
      </c>
      <c r="B10" s="13">
        <v>706272</v>
      </c>
      <c r="D10" s="43" t="s">
        <v>296</v>
      </c>
      <c r="E10" s="43"/>
    </row>
    <row r="11" spans="1:5">
      <c r="A11" t="s">
        <v>297</v>
      </c>
      <c r="B11" s="13">
        <v>197788</v>
      </c>
      <c r="D11" s="12" t="s">
        <v>27</v>
      </c>
      <c r="E11" t="s">
        <v>298</v>
      </c>
    </row>
    <row r="12" spans="1:5">
      <c r="A12" t="s">
        <v>299</v>
      </c>
      <c r="B12" s="13">
        <v>209830</v>
      </c>
    </row>
    <row r="13" spans="1:5">
      <c r="A13" t="s">
        <v>300</v>
      </c>
      <c r="B13" s="13">
        <v>404621</v>
      </c>
      <c r="D13" t="s">
        <v>301</v>
      </c>
      <c r="E13" t="s">
        <v>302</v>
      </c>
    </row>
    <row r="14" spans="1:5">
      <c r="A14" t="s">
        <v>303</v>
      </c>
      <c r="B14" s="13">
        <v>399731</v>
      </c>
      <c r="D14" s="13">
        <v>70341.600000000006</v>
      </c>
      <c r="E14" s="13">
        <v>20</v>
      </c>
    </row>
    <row r="15" spans="1:5">
      <c r="A15" t="s">
        <v>304</v>
      </c>
      <c r="B15" s="13">
        <v>359457</v>
      </c>
    </row>
    <row r="16" spans="1:5">
      <c r="A16" t="s">
        <v>305</v>
      </c>
      <c r="B16" s="13">
        <v>508208</v>
      </c>
    </row>
    <row r="17" spans="1:2">
      <c r="A17" t="s">
        <v>306</v>
      </c>
      <c r="B17" s="13">
        <v>139436</v>
      </c>
    </row>
    <row r="18" spans="1:2">
      <c r="A18" t="s">
        <v>307</v>
      </c>
      <c r="B18" s="13">
        <v>3366419</v>
      </c>
    </row>
  </sheetData>
  <mergeCells count="1">
    <mergeCell ref="D10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6132-1446-4DC7-992B-5AC5E415F5BB}">
  <dimension ref="A1:N24"/>
  <sheetViews>
    <sheetView workbookViewId="0">
      <selection activeCell="E13" sqref="E13"/>
    </sheetView>
  </sheetViews>
  <sheetFormatPr defaultRowHeight="15"/>
  <cols>
    <col min="1" max="2" width="13.85546875" customWidth="1"/>
    <col min="3" max="3" width="15.42578125" customWidth="1"/>
    <col min="6" max="6" width="9.28515625" bestFit="1" customWidth="1"/>
    <col min="7" max="7" width="16.5703125" bestFit="1" customWidth="1"/>
    <col min="8" max="8" width="18" customWidth="1"/>
    <col min="11" max="11" width="12.42578125" bestFit="1" customWidth="1"/>
    <col min="12" max="12" width="16.5703125" bestFit="1" customWidth="1"/>
    <col min="13" max="13" width="17.140625" bestFit="1" customWidth="1"/>
  </cols>
  <sheetData>
    <row r="1" spans="1:14">
      <c r="A1" s="37" t="s">
        <v>308</v>
      </c>
      <c r="B1" s="38"/>
      <c r="C1" s="39"/>
      <c r="F1" s="37" t="s">
        <v>309</v>
      </c>
      <c r="G1" s="38"/>
      <c r="H1" s="38"/>
      <c r="I1" s="39"/>
      <c r="K1" s="44" t="s">
        <v>310</v>
      </c>
      <c r="L1" s="45"/>
      <c r="M1" s="45"/>
      <c r="N1" s="46"/>
    </row>
    <row r="2" spans="1:14">
      <c r="A2" s="18" t="s">
        <v>311</v>
      </c>
      <c r="B2" s="19" t="s">
        <v>312</v>
      </c>
      <c r="C2" s="20" t="s">
        <v>313</v>
      </c>
      <c r="D2" s="14"/>
      <c r="F2" s="18" t="s">
        <v>26</v>
      </c>
      <c r="G2" s="19" t="s">
        <v>314</v>
      </c>
      <c r="H2" s="19" t="s">
        <v>315</v>
      </c>
      <c r="I2" s="20" t="s">
        <v>316</v>
      </c>
      <c r="K2" s="14" t="s">
        <v>26</v>
      </c>
      <c r="L2" s="14" t="s">
        <v>314</v>
      </c>
      <c r="M2" s="14" t="s">
        <v>315</v>
      </c>
      <c r="N2" s="14" t="s">
        <v>316</v>
      </c>
    </row>
    <row r="3" spans="1:14">
      <c r="A3" s="21" t="s">
        <v>317</v>
      </c>
      <c r="B3" s="22" t="s">
        <v>318</v>
      </c>
      <c r="C3" s="23">
        <v>9876543210</v>
      </c>
      <c r="F3" s="21" t="s">
        <v>317</v>
      </c>
      <c r="G3" s="22" t="s">
        <v>319</v>
      </c>
      <c r="H3" s="22" t="s">
        <v>320</v>
      </c>
      <c r="I3" s="23">
        <v>1000</v>
      </c>
      <c r="K3" t="s">
        <v>317</v>
      </c>
      <c r="L3" t="s">
        <v>321</v>
      </c>
      <c r="M3" t="s">
        <v>322</v>
      </c>
      <c r="N3">
        <v>1000</v>
      </c>
    </row>
    <row r="4" spans="1:14">
      <c r="A4" s="21" t="s">
        <v>323</v>
      </c>
      <c r="B4" s="22" t="s">
        <v>324</v>
      </c>
      <c r="C4" s="23">
        <v>9876543210</v>
      </c>
      <c r="F4" s="21" t="s">
        <v>325</v>
      </c>
      <c r="G4" s="27" t="s">
        <v>321</v>
      </c>
      <c r="H4" s="22" t="s">
        <v>326</v>
      </c>
      <c r="I4" s="23">
        <v>1000</v>
      </c>
      <c r="K4" t="s">
        <v>323</v>
      </c>
      <c r="L4" t="s">
        <v>327</v>
      </c>
      <c r="M4" t="s">
        <v>328</v>
      </c>
      <c r="N4">
        <v>2000</v>
      </c>
    </row>
    <row r="5" spans="1:14">
      <c r="A5" s="24" t="s">
        <v>329</v>
      </c>
      <c r="B5" s="25"/>
      <c r="C5" s="26">
        <v>9123456789</v>
      </c>
      <c r="F5" s="21" t="s">
        <v>323</v>
      </c>
      <c r="G5" s="22" t="s">
        <v>330</v>
      </c>
      <c r="H5" s="22" t="s">
        <v>331</v>
      </c>
      <c r="I5" s="23">
        <v>2000</v>
      </c>
      <c r="K5" t="s">
        <v>329</v>
      </c>
      <c r="L5" s="15" t="s">
        <v>332</v>
      </c>
      <c r="M5" t="s">
        <v>333</v>
      </c>
      <c r="N5">
        <v>2500</v>
      </c>
    </row>
    <row r="6" spans="1:14">
      <c r="F6" s="21" t="s">
        <v>329</v>
      </c>
      <c r="G6" s="27" t="s">
        <v>332</v>
      </c>
      <c r="H6" s="22" t="s">
        <v>334</v>
      </c>
      <c r="I6" s="23">
        <v>2500</v>
      </c>
      <c r="K6" t="s">
        <v>335</v>
      </c>
      <c r="L6" t="s">
        <v>336</v>
      </c>
      <c r="M6" t="s">
        <v>337</v>
      </c>
      <c r="N6">
        <v>3000</v>
      </c>
    </row>
    <row r="7" spans="1:14">
      <c r="F7" s="21" t="s">
        <v>338</v>
      </c>
      <c r="G7" s="22" t="s">
        <v>339</v>
      </c>
      <c r="H7" s="22" t="s">
        <v>337</v>
      </c>
      <c r="I7" s="23">
        <v>3000</v>
      </c>
    </row>
    <row r="8" spans="1:14">
      <c r="F8" s="24" t="s">
        <v>323</v>
      </c>
      <c r="G8" s="28" t="s">
        <v>327</v>
      </c>
      <c r="H8" s="25" t="s">
        <v>331</v>
      </c>
      <c r="I8" s="26">
        <v>2000</v>
      </c>
    </row>
    <row r="9" spans="1:14">
      <c r="F9" s="22"/>
      <c r="G9" s="27"/>
      <c r="H9" s="22"/>
      <c r="I9" s="22"/>
      <c r="L9" s="15"/>
    </row>
    <row r="10" spans="1:14">
      <c r="K10" s="29" t="s">
        <v>340</v>
      </c>
    </row>
    <row r="11" spans="1:14">
      <c r="K11" t="str">
        <f>TRIM(K18)</f>
        <v/>
      </c>
      <c r="L11" t="str">
        <f>TRIM(M4)</f>
        <v>Ongole, AP</v>
      </c>
      <c r="M11" t="str">
        <f>TRIM(M3)</f>
        <v>Kavali,Nellore,AP</v>
      </c>
    </row>
    <row r="12" spans="1:14">
      <c r="K12" s="29"/>
    </row>
    <row r="13" spans="1:14">
      <c r="K13" s="14" t="s">
        <v>341</v>
      </c>
    </row>
    <row r="14" spans="1:14">
      <c r="K14" t="str" cm="1">
        <f t="array" ref="K14:K19">PROPER(K3:K8)</f>
        <v>Asha</v>
      </c>
    </row>
    <row r="15" spans="1:14">
      <c r="K15" t="str">
        <v>Raju</v>
      </c>
    </row>
    <row r="16" spans="1:14">
      <c r="K16" t="str">
        <v>Teja</v>
      </c>
    </row>
    <row r="17" spans="1:11">
      <c r="K17" t="str">
        <v>Sai Kumar</v>
      </c>
    </row>
    <row r="18" spans="1:11">
      <c r="A18" s="14"/>
      <c r="B18" s="16"/>
      <c r="C18" s="16"/>
      <c r="D18" s="14"/>
      <c r="K18" t="str">
        <v/>
      </c>
    </row>
    <row r="19" spans="1:11">
      <c r="B19" s="1"/>
      <c r="C19" s="1"/>
      <c r="K19" t="str">
        <v/>
      </c>
    </row>
    <row r="20" spans="1:11">
      <c r="B20" s="17"/>
      <c r="C20" s="1"/>
    </row>
    <row r="21" spans="1:11">
      <c r="B21" s="1"/>
      <c r="C21" s="1"/>
    </row>
    <row r="22" spans="1:11">
      <c r="B22" s="17"/>
      <c r="C22" s="1"/>
    </row>
    <row r="23" spans="1:11">
      <c r="B23" s="1"/>
      <c r="C23" s="1"/>
    </row>
    <row r="24" spans="1:11">
      <c r="B24" s="17"/>
      <c r="C24" s="1"/>
    </row>
  </sheetData>
  <mergeCells count="3">
    <mergeCell ref="A1:C1"/>
    <mergeCell ref="F1:I1"/>
    <mergeCell ref="K1:N1"/>
  </mergeCells>
  <hyperlinks>
    <hyperlink ref="G4" r:id="rId1" xr:uid="{EE66E6FD-052F-4AB4-90DB-D5D4F6FC7D79}"/>
    <hyperlink ref="G6" r:id="rId2" xr:uid="{14CE2891-535B-49F9-8240-C83039EC0F97}"/>
    <hyperlink ref="G8" r:id="rId3" xr:uid="{E6775775-BA1A-4711-B6C9-9274615BA0C9}"/>
    <hyperlink ref="L5" r:id="rId4" xr:uid="{72DEB416-34E7-4BAB-8D83-BA145574A9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2025-11-16T16:43:12Z</dcterms:created>
  <dcterms:modified xsi:type="dcterms:W3CDTF">2025-11-29T17:15:34Z</dcterms:modified>
  <cp:category/>
  <cp:contentStatus/>
</cp:coreProperties>
</file>